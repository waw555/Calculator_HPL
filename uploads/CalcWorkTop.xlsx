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Новая папка\Новая папка\"/>
    </mc:Choice>
  </mc:AlternateContent>
  <bookViews>
    <workbookView xWindow="-120" yWindow="-120" windowWidth="28110" windowHeight="16440"/>
  </bookViews>
  <sheets>
    <sheet name="FMX" sheetId="1" r:id="rId1"/>
    <sheet name="ДАТ" sheetId="2" state="hidden" r:id="rId2"/>
    <sheet name="Коэфф. салон" sheetId="7" r:id="rId3"/>
    <sheet name="Коэфф. фабрика" sheetId="3" r:id="rId4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8" i="2" l="1"/>
  <c r="C14" i="2"/>
  <c r="C13" i="2"/>
  <c r="C15" i="2"/>
  <c r="C16" i="2"/>
  <c r="C17" i="2"/>
  <c r="C19" i="2"/>
  <c r="C20" i="2"/>
  <c r="C21" i="2"/>
  <c r="C12" i="2"/>
  <c r="U12" i="2" l="1"/>
  <c r="R12" i="2"/>
  <c r="Q12" i="2"/>
  <c r="G14" i="2"/>
  <c r="G13" i="2"/>
  <c r="G12" i="2"/>
  <c r="R15" i="1"/>
  <c r="R16" i="1"/>
  <c r="R17" i="1"/>
  <c r="C9" i="1"/>
  <c r="J12" i="2" l="1"/>
  <c r="T12" i="2"/>
  <c r="S12" i="2"/>
  <c r="Q26" i="1"/>
  <c r="R26" i="1" s="1"/>
  <c r="Q25" i="1"/>
  <c r="Q24" i="1"/>
  <c r="Q23" i="1"/>
  <c r="R23" i="1" s="1"/>
  <c r="Q22" i="1"/>
  <c r="Q21" i="1"/>
  <c r="Q20" i="1"/>
  <c r="Q19" i="1"/>
  <c r="R19" i="1" s="1"/>
  <c r="Q18" i="1"/>
  <c r="Q14" i="1"/>
  <c r="Q12" i="1"/>
  <c r="R12" i="1" s="1"/>
  <c r="R24" i="1"/>
  <c r="R21" i="1"/>
  <c r="R20" i="1"/>
  <c r="R14" i="1"/>
  <c r="R25" i="1" l="1"/>
  <c r="R22" i="1"/>
  <c r="R18" i="1"/>
  <c r="R21" i="2"/>
  <c r="R20" i="2"/>
  <c r="R19" i="2"/>
  <c r="R18" i="2"/>
  <c r="R17" i="2"/>
  <c r="Q21" i="2"/>
  <c r="Q20" i="2"/>
  <c r="Q19" i="2"/>
  <c r="Q18" i="2"/>
  <c r="Q17" i="2"/>
  <c r="U21" i="2"/>
  <c r="U20" i="2"/>
  <c r="U19" i="2"/>
  <c r="U18" i="2"/>
  <c r="U17" i="2"/>
  <c r="G21" i="2"/>
  <c r="G20" i="2"/>
  <c r="G19" i="2"/>
  <c r="G18" i="2"/>
  <c r="G17" i="2"/>
  <c r="G16" i="2"/>
  <c r="D21" i="2"/>
  <c r="D20" i="2"/>
  <c r="D19" i="2"/>
  <c r="D18" i="2"/>
  <c r="D17" i="2"/>
  <c r="F16" i="1"/>
  <c r="G16" i="1"/>
  <c r="F17" i="1"/>
  <c r="G17" i="1"/>
  <c r="F18" i="1"/>
  <c r="G18" i="1"/>
  <c r="F19" i="1"/>
  <c r="G19" i="1"/>
  <c r="F20" i="1"/>
  <c r="G20" i="1"/>
  <c r="F21" i="1"/>
  <c r="G21" i="1"/>
  <c r="E22" i="1"/>
  <c r="R27" i="1" l="1"/>
  <c r="J19" i="2"/>
  <c r="F20" i="2"/>
  <c r="E19" i="2"/>
  <c r="E20" i="2"/>
  <c r="F18" i="2"/>
  <c r="E17" i="2"/>
  <c r="E21" i="2"/>
  <c r="J18" i="2"/>
  <c r="J20" i="2"/>
  <c r="J17" i="2"/>
  <c r="J21" i="2"/>
  <c r="E18" i="2"/>
  <c r="F21" i="2"/>
  <c r="F19" i="2"/>
  <c r="F17" i="2"/>
  <c r="S17" i="2"/>
  <c r="T21" i="2"/>
  <c r="S20" i="2"/>
  <c r="T19" i="2"/>
  <c r="S18" i="2"/>
  <c r="I18" i="2" s="1"/>
  <c r="S21" i="2"/>
  <c r="T20" i="2"/>
  <c r="S19" i="2"/>
  <c r="I19" i="2" s="1"/>
  <c r="T18" i="2"/>
  <c r="T17" i="2"/>
  <c r="Q16" i="2"/>
  <c r="Q15" i="2"/>
  <c r="Q14" i="2"/>
  <c r="Q13" i="2"/>
  <c r="F57" i="2"/>
  <c r="I57" i="2" s="1"/>
  <c r="F56" i="2"/>
  <c r="F55" i="2"/>
  <c r="I55" i="2" s="1"/>
  <c r="F54" i="2"/>
  <c r="F53" i="2"/>
  <c r="R16" i="2"/>
  <c r="R15" i="2"/>
  <c r="R14" i="2"/>
  <c r="R13" i="2"/>
  <c r="D16" i="2"/>
  <c r="D15" i="2"/>
  <c r="D14" i="2"/>
  <c r="D13" i="2"/>
  <c r="D12" i="2"/>
  <c r="F12" i="2" s="1"/>
  <c r="G57" i="2"/>
  <c r="G56" i="2"/>
  <c r="G55" i="2"/>
  <c r="G54" i="2"/>
  <c r="G53" i="2"/>
  <c r="J44" i="2"/>
  <c r="I44" i="2"/>
  <c r="J57" i="2"/>
  <c r="J56" i="2"/>
  <c r="J55" i="2"/>
  <c r="J54" i="2"/>
  <c r="J53" i="2"/>
  <c r="D53" i="2"/>
  <c r="G15" i="1"/>
  <c r="G14" i="1"/>
  <c r="G13" i="1"/>
  <c r="G12" i="1"/>
  <c r="F15" i="1"/>
  <c r="F14" i="1"/>
  <c r="F13" i="1"/>
  <c r="F12" i="1"/>
  <c r="I20" i="2" l="1"/>
  <c r="K20" i="2" s="1"/>
  <c r="I21" i="2"/>
  <c r="I17" i="2"/>
  <c r="K18" i="2"/>
  <c r="H18" i="1" s="1"/>
  <c r="F22" i="1"/>
  <c r="G22" i="1"/>
  <c r="K19" i="2"/>
  <c r="H19" i="1" s="1"/>
  <c r="I54" i="2"/>
  <c r="I56" i="2"/>
  <c r="I53" i="2"/>
  <c r="H54" i="2"/>
  <c r="H56" i="2"/>
  <c r="H53" i="2"/>
  <c r="H55" i="2"/>
  <c r="L55" i="2" s="1"/>
  <c r="N14" i="2" s="1"/>
  <c r="H57" i="2"/>
  <c r="L57" i="2" s="1"/>
  <c r="N16" i="2" s="1"/>
  <c r="J39" i="2"/>
  <c r="J38" i="2"/>
  <c r="J37" i="2"/>
  <c r="J36" i="2"/>
  <c r="J35" i="2"/>
  <c r="I39" i="2"/>
  <c r="I38" i="2"/>
  <c r="I37" i="2"/>
  <c r="I36" i="2"/>
  <c r="I35" i="2"/>
  <c r="J48" i="2"/>
  <c r="J47" i="2"/>
  <c r="J46" i="2"/>
  <c r="J45" i="2"/>
  <c r="I48" i="2"/>
  <c r="I47" i="2"/>
  <c r="I46" i="2"/>
  <c r="I45" i="2"/>
  <c r="G39" i="2"/>
  <c r="G38" i="2"/>
  <c r="G37" i="2"/>
  <c r="G36" i="2"/>
  <c r="G35" i="2"/>
  <c r="G44" i="2"/>
  <c r="C39" i="2"/>
  <c r="E39" i="2" s="1"/>
  <c r="C38" i="2"/>
  <c r="E38" i="2" s="1"/>
  <c r="C37" i="2"/>
  <c r="E37" i="2" s="1"/>
  <c r="C36" i="2"/>
  <c r="F36" i="2" s="1"/>
  <c r="C35" i="2"/>
  <c r="E35" i="2" s="1"/>
  <c r="B35" i="2"/>
  <c r="G48" i="2"/>
  <c r="G47" i="2"/>
  <c r="G46" i="2"/>
  <c r="G45" i="2"/>
  <c r="C48" i="2"/>
  <c r="E48" i="2" s="1"/>
  <c r="C47" i="2"/>
  <c r="F47" i="2" s="1"/>
  <c r="C46" i="2"/>
  <c r="C45" i="2"/>
  <c r="C44" i="2"/>
  <c r="B44" i="2"/>
  <c r="H20" i="1" l="1"/>
  <c r="I20" i="1" s="1"/>
  <c r="I18" i="1"/>
  <c r="K17" i="2"/>
  <c r="H17" i="1" s="1"/>
  <c r="K21" i="2"/>
  <c r="H21" i="1" s="1"/>
  <c r="I19" i="1"/>
  <c r="L54" i="2"/>
  <c r="N13" i="2" s="1"/>
  <c r="L56" i="2"/>
  <c r="N15" i="2" s="1"/>
  <c r="L53" i="2"/>
  <c r="N12" i="2" s="1"/>
  <c r="F37" i="2"/>
  <c r="E36" i="2"/>
  <c r="H36" i="2" s="1"/>
  <c r="F35" i="2"/>
  <c r="F39" i="2"/>
  <c r="K48" i="2"/>
  <c r="L48" i="2" s="1"/>
  <c r="H38" i="2"/>
  <c r="H35" i="2"/>
  <c r="H39" i="2"/>
  <c r="Q44" i="2"/>
  <c r="K35" i="2"/>
  <c r="M35" i="2" s="1"/>
  <c r="O35" i="2" s="1"/>
  <c r="F38" i="2"/>
  <c r="K37" i="2"/>
  <c r="L37" i="2" s="1"/>
  <c r="K38" i="2"/>
  <c r="K44" i="2"/>
  <c r="L44" i="2" s="1"/>
  <c r="K47" i="2"/>
  <c r="Q35" i="2"/>
  <c r="Q48" i="2"/>
  <c r="Q39" i="2"/>
  <c r="K39" i="2"/>
  <c r="Q38" i="2"/>
  <c r="Q47" i="2"/>
  <c r="K46" i="2"/>
  <c r="L46" i="2" s="1"/>
  <c r="Q37" i="2"/>
  <c r="Q46" i="2"/>
  <c r="K45" i="2"/>
  <c r="L45" i="2" s="1"/>
  <c r="Q36" i="2"/>
  <c r="Q45" i="2"/>
  <c r="K36" i="2"/>
  <c r="L36" i="2" s="1"/>
  <c r="H37" i="2"/>
  <c r="H48" i="2"/>
  <c r="E45" i="2"/>
  <c r="H45" i="2" s="1"/>
  <c r="F44" i="2"/>
  <c r="E47" i="2"/>
  <c r="H47" i="2" s="1"/>
  <c r="F48" i="2"/>
  <c r="F46" i="2"/>
  <c r="E46" i="2"/>
  <c r="H46" i="2" s="1"/>
  <c r="E44" i="2"/>
  <c r="H44" i="2" s="1"/>
  <c r="F45" i="2"/>
  <c r="U14" i="2"/>
  <c r="U16" i="2"/>
  <c r="U15" i="2"/>
  <c r="G15" i="2"/>
  <c r="U13" i="2"/>
  <c r="J13" i="2" s="1"/>
  <c r="I7" i="2"/>
  <c r="I6" i="2"/>
  <c r="I5" i="2"/>
  <c r="H7" i="2"/>
  <c r="H6" i="2"/>
  <c r="H5" i="2"/>
  <c r="G7" i="2"/>
  <c r="G6" i="2"/>
  <c r="G5" i="2"/>
  <c r="F7" i="2"/>
  <c r="F6" i="2"/>
  <c r="F5" i="2"/>
  <c r="E7" i="2"/>
  <c r="E6" i="2"/>
  <c r="E5" i="2"/>
  <c r="D7" i="2"/>
  <c r="D6" i="2"/>
  <c r="D5" i="2"/>
  <c r="I4" i="2"/>
  <c r="H4" i="2"/>
  <c r="G4" i="2"/>
  <c r="F4" i="2"/>
  <c r="E4" i="2"/>
  <c r="D4" i="2"/>
  <c r="I3" i="2"/>
  <c r="H3" i="2"/>
  <c r="G3" i="2"/>
  <c r="F3" i="2"/>
  <c r="E3" i="2"/>
  <c r="D3" i="2"/>
  <c r="I21" i="1" l="1"/>
  <c r="I17" i="1"/>
  <c r="P35" i="2"/>
  <c r="L12" i="2" s="1"/>
  <c r="M36" i="2"/>
  <c r="O36" i="2" s="1"/>
  <c r="P36" i="2" s="1"/>
  <c r="L13" i="2" s="1"/>
  <c r="L38" i="2"/>
  <c r="M39" i="2"/>
  <c r="O39" i="2" s="1"/>
  <c r="P39" i="2" s="1"/>
  <c r="L16" i="2" s="1"/>
  <c r="M37" i="2"/>
  <c r="L35" i="2"/>
  <c r="M38" i="2"/>
  <c r="O38" i="2" s="1"/>
  <c r="P38" i="2" s="1"/>
  <c r="L39" i="2"/>
  <c r="M45" i="2"/>
  <c r="O45" i="2" s="1"/>
  <c r="P45" i="2" s="1"/>
  <c r="M46" i="2"/>
  <c r="O46" i="2" s="1"/>
  <c r="P46" i="2" s="1"/>
  <c r="M44" i="2"/>
  <c r="O44" i="2" s="1"/>
  <c r="P44" i="2" s="1"/>
  <c r="M12" i="2" s="1"/>
  <c r="M48" i="2"/>
  <c r="O48" i="2" s="1"/>
  <c r="P48" i="2" s="1"/>
  <c r="M47" i="2"/>
  <c r="O47" i="2" s="1"/>
  <c r="P47" i="2" s="1"/>
  <c r="L47" i="2"/>
  <c r="J15" i="2"/>
  <c r="J14" i="2"/>
  <c r="E13" i="2"/>
  <c r="S15" i="2"/>
  <c r="E12" i="2"/>
  <c r="J16" i="2"/>
  <c r="T15" i="2"/>
  <c r="T13" i="2"/>
  <c r="T16" i="2"/>
  <c r="S14" i="2"/>
  <c r="S13" i="2"/>
  <c r="I13" i="2" s="1"/>
  <c r="S16" i="2"/>
  <c r="T14" i="2"/>
  <c r="E15" i="2"/>
  <c r="E14" i="2"/>
  <c r="F16" i="2"/>
  <c r="F15" i="2"/>
  <c r="E16" i="2"/>
  <c r="F14" i="2"/>
  <c r="F13" i="2"/>
  <c r="I12" i="2" l="1"/>
  <c r="I14" i="2"/>
  <c r="I16" i="2"/>
  <c r="I15" i="2"/>
  <c r="K13" i="2"/>
  <c r="H13" i="1" s="1"/>
  <c r="M15" i="2"/>
  <c r="M16" i="2"/>
  <c r="L15" i="2"/>
  <c r="M14" i="2"/>
  <c r="O37" i="2"/>
  <c r="M13" i="2"/>
  <c r="K12" i="2" l="1"/>
  <c r="H12" i="1" s="1"/>
  <c r="I12" i="1" s="1"/>
  <c r="K16" i="2"/>
  <c r="H16" i="1" s="1"/>
  <c r="I13" i="1"/>
  <c r="K15" i="2"/>
  <c r="H15" i="1" s="1"/>
  <c r="P37" i="2"/>
  <c r="L14" i="2" s="1"/>
  <c r="K14" i="2"/>
  <c r="H14" i="1" s="1"/>
  <c r="I16" i="1" l="1"/>
  <c r="I15" i="1"/>
  <c r="I14" i="1"/>
  <c r="H22" i="1" l="1"/>
  <c r="I22" i="1"/>
  <c r="N29" i="1" s="1"/>
</calcChain>
</file>

<file path=xl/comments1.xml><?xml version="1.0" encoding="utf-8"?>
<comments xmlns="http://schemas.openxmlformats.org/spreadsheetml/2006/main">
  <authors>
    <author>M.Uryvaev</author>
  </authors>
  <commentList>
    <comment ref="L24" authorId="0" shapeId="0">
      <text>
        <r>
          <rPr>
            <sz val="10"/>
            <color indexed="81"/>
            <rFont val="Tahoma"/>
            <family val="2"/>
            <charset val="204"/>
          </rPr>
          <t>картон или пузырчатая пленка, мягкий профиль по периметру, скотч</t>
        </r>
      </text>
    </comment>
    <comment ref="L25" authorId="0" shapeId="0">
      <text>
        <r>
          <rPr>
            <sz val="10"/>
            <color indexed="81"/>
            <rFont val="Tahoma"/>
            <family val="2"/>
            <charset val="204"/>
          </rPr>
          <t>картон или пузырчатая пленка, жесткие картонные уголки по периметру, скотч</t>
        </r>
      </text>
    </comment>
    <comment ref="L26" authorId="0" shapeId="0">
      <text>
        <r>
          <rPr>
            <sz val="10"/>
            <color indexed="81"/>
            <rFont val="Tahoma"/>
            <family val="2"/>
            <charset val="204"/>
          </rPr>
          <t>Картон или пузырчатая пленка, оргалит с 2-х сторон, по периметру рейки из дерева, пустоты уплотняются картоном. Не является обрешеткой для ТК!</t>
        </r>
      </text>
    </comment>
  </commentList>
</comments>
</file>

<file path=xl/sharedStrings.xml><?xml version="1.0" encoding="utf-8"?>
<sst xmlns="http://schemas.openxmlformats.org/spreadsheetml/2006/main" count="173" uniqueCount="109">
  <si>
    <t>Коллекция</t>
  </si>
  <si>
    <t>0085/0080/0077/0074/0851</t>
  </si>
  <si>
    <t>№</t>
  </si>
  <si>
    <t>Длина, мм</t>
  </si>
  <si>
    <t>Ширина, мм</t>
  </si>
  <si>
    <t>Кол-во, шт</t>
  </si>
  <si>
    <t>Периметр, м.п.</t>
  </si>
  <si>
    <t>Площадь, м2</t>
  </si>
  <si>
    <t>Цена, евро/м2</t>
  </si>
  <si>
    <t>нет декоров</t>
  </si>
  <si>
    <t>Interior FH/FH</t>
  </si>
  <si>
    <t>Aptico, Saxum, Enduro</t>
  </si>
  <si>
    <t>м2</t>
  </si>
  <si>
    <t>евро/м2</t>
  </si>
  <si>
    <t>цены за материал менять только тут, евро/м2</t>
  </si>
  <si>
    <t>ничего больше нигде не трогать!!!</t>
  </si>
  <si>
    <t>Цена, евро/лист</t>
  </si>
  <si>
    <t>Кол-во, шт/лист</t>
  </si>
  <si>
    <t>Сумма обработки, евро</t>
  </si>
  <si>
    <t>Цена, евро/шт</t>
  </si>
  <si>
    <t>КухСтол, евро</t>
  </si>
  <si>
    <t>КухФас, евро</t>
  </si>
  <si>
    <t>HoReCa</t>
  </si>
  <si>
    <t>1300</t>
  </si>
  <si>
    <t>РАБОЧАЯ ТАБЛИЦА HoReCa</t>
  </si>
  <si>
    <t>прямой расчет</t>
  </si>
  <si>
    <t>РАБОЧАЯ ТАБЛИЦА КухФас</t>
  </si>
  <si>
    <t>FH</t>
  </si>
  <si>
    <t>КухСтол</t>
  </si>
  <si>
    <t>КухФас</t>
  </si>
  <si>
    <t>от</t>
  </si>
  <si>
    <t>до</t>
  </si>
  <si>
    <t>Ширина детали, мм</t>
  </si>
  <si>
    <t>Длина детали, мм</t>
  </si>
  <si>
    <t>ТИП ИЗДЕЛИЯ</t>
  </si>
  <si>
    <t>коллекция</t>
  </si>
  <si>
    <t>ДЕКОРЫ</t>
  </si>
  <si>
    <t>Стоимость, евро</t>
  </si>
  <si>
    <t>Стоимость, руб</t>
  </si>
  <si>
    <t>Дополнительные услуги</t>
  </si>
  <si>
    <t>ИТОГО 1:</t>
  </si>
  <si>
    <t>ИТОГО 2:</t>
  </si>
  <si>
    <t>Примечания:</t>
  </si>
  <si>
    <t>- поля для введения параметров</t>
  </si>
  <si>
    <t>1. Стоимость приведена с НДС 20%;</t>
  </si>
  <si>
    <t>Ед. изм.</t>
  </si>
  <si>
    <t>п.м.</t>
  </si>
  <si>
    <t>шт.</t>
  </si>
  <si>
    <t>Виды кромок:</t>
  </si>
  <si>
    <t>КУХОННАЯ СТОЛЕШНИЦА и ФАРТУК</t>
  </si>
  <si>
    <t>Цена, евро/м.п.</t>
  </si>
  <si>
    <t>Цена обработки, евро/м.п.</t>
  </si>
  <si>
    <t>сводная по стоимости</t>
  </si>
  <si>
    <t>HoReCa, евро</t>
  </si>
  <si>
    <t>Бортик</t>
  </si>
  <si>
    <t>РАБОЧАЯ ТАБЛИЦА Бортик</t>
  </si>
  <si>
    <t>Цена обработки для КухСтол, евро/м.п.</t>
  </si>
  <si>
    <t>Бортик, евро</t>
  </si>
  <si>
    <t>Коэф.</t>
  </si>
  <si>
    <t>Interior APTICO, AP/RR, черная сердцевина, 12 мм</t>
  </si>
  <si>
    <t>Interior COLOUR, FH/FH, черная сердцевина, 12 мм</t>
  </si>
  <si>
    <t>Interior NATURE &amp; MATERIAL, FH/FH, черная сердцевина, 12 мм</t>
  </si>
  <si>
    <t>Interior SAXUM, SX/IP, черная сердцевина, 12 мм</t>
  </si>
  <si>
    <t>Exterior ENDURO, NW/NN, черная сердцевина, 12 мм</t>
  </si>
  <si>
    <t>Установка мебельной муфты под винт М5, М6, М8</t>
  </si>
  <si>
    <t>ПЛИНТУС и БОРТИК</t>
  </si>
  <si>
    <t>КУХОННАЯ СТОЛЕШНИЦА, СТЕНОВАЯ ПАНЕЛЬ/ФАРТУК и БОРТИК/ПЛИНТУС</t>
  </si>
  <si>
    <t>3. Максимальный размер изделия по ширине – 1280 мм (для AP/RR, SX/IP, NW/NN) и 1830 мм (для FH/FH), по длине – 4080 мм;</t>
  </si>
  <si>
    <t>6. Для коллекций Nature &amp; Material и Enduro – направление рисунка декора вдоль Длины детали, для остальных коллекций – направление рисунка значения не имеет;</t>
  </si>
  <si>
    <t>Изготовление индивидуального паллета</t>
  </si>
  <si>
    <t>Вырез произвольной формы и размера</t>
  </si>
  <si>
    <t>ИТОГО 1+2 (со скидкой):</t>
  </si>
  <si>
    <t>СКИДКА:</t>
  </si>
  <si>
    <t>Наценка</t>
  </si>
  <si>
    <t>Обработка кромки по Тип-4 или Тип-5</t>
  </si>
  <si>
    <t>Индивидуальная упаковка мягкая</t>
  </si>
  <si>
    <t>Усиленная упаковка</t>
  </si>
  <si>
    <t>Спец. упаковка жесткая</t>
  </si>
  <si>
    <t>Цена,
руб/ед.</t>
  </si>
  <si>
    <t>Стоимость,
руб.</t>
  </si>
  <si>
    <t>Кол-во</t>
  </si>
  <si>
    <t>0606/0080/0077/0075/0018/0693</t>
  </si>
  <si>
    <t>Черновой край</t>
  </si>
  <si>
    <t>Вырез под технику (накладная)</t>
  </si>
  <si>
    <t>Вырез под технику (вровень/подклейка снизу)</t>
  </si>
  <si>
    <t>5. Минимальный радиус скругления внутренних углов – 6 мм, минимальный радиус скругления внешних углов – ограничений нет;</t>
  </si>
  <si>
    <t>2. В стоимость включена обработка деталей с кромкой Тип-1/Тип-2/Тип-3 + шлифовка;</t>
  </si>
  <si>
    <t>4. Минимальный размер изделия по ширине – 50 мм, по длине – 150 мм;</t>
  </si>
  <si>
    <t>7. Соединения столешниц:</t>
  </si>
  <si>
    <t>9. Все изделия, у которых расстояние от края выреза до внешнего края столешницы менее 50 мм по умолчанию идут со спец. упаковкой</t>
  </si>
  <si>
    <t>параметры, которые участвуют в формулах ниже</t>
  </si>
  <si>
    <t>FUNDERMAX</t>
  </si>
  <si>
    <t>Курс евро</t>
  </si>
  <si>
    <t>Подклейка мойки к столешнице*</t>
  </si>
  <si>
    <t>Вырез отверстия Ø до 100 мм/присадка</t>
  </si>
  <si>
    <t>Соединение столешниц (еврозапил или прямой стык)/K-TOP</t>
  </si>
  <si>
    <t>Встроенная мойка из HPL (424х374х17,5 мм)</t>
  </si>
  <si>
    <t>Введите коэфф. салон:</t>
  </si>
  <si>
    <t>Введите коэфф. фабрика:</t>
  </si>
  <si>
    <t>B794/B793/B428/0497/0427/0426/0421/0027/0026</t>
  </si>
  <si>
    <t>0599/0585/0581/0566/0565/0331/0260/0048</t>
  </si>
  <si>
    <t>0085/0080/0077</t>
  </si>
  <si>
    <t>FH/AP/SX/NN</t>
  </si>
  <si>
    <t>Гравировка, фреза Ø 1мм</t>
  </si>
  <si>
    <r>
      <t xml:space="preserve">*Подклейка осуществляется только тех моек, которые приобретаются вместе со столешницей. Клиентские мойки в работу не берутся. С ассортиментом моек и прочих кухонных аксессуаров можно ознакомиться на сайтах </t>
    </r>
    <r>
      <rPr>
        <b/>
        <sz val="12"/>
        <color rgb="FF7030A0"/>
        <rFont val="Arial Narrow"/>
        <family val="2"/>
        <charset val="204"/>
      </rPr>
      <t>https://omoikiri.ru</t>
    </r>
    <r>
      <rPr>
        <sz val="12"/>
        <color theme="1"/>
        <rFont val="Arial Narrow"/>
        <family val="2"/>
        <charset val="204"/>
      </rPr>
      <t xml:space="preserve"> и </t>
    </r>
    <r>
      <rPr>
        <b/>
        <sz val="12"/>
        <color rgb="FF7030A0"/>
        <rFont val="Arial Narrow"/>
        <family val="2"/>
        <charset val="204"/>
      </rPr>
      <t xml:space="preserve">https://florcom.ru. </t>
    </r>
    <r>
      <rPr>
        <sz val="12"/>
        <rFont val="Arial Narrow"/>
        <family val="2"/>
        <charset val="204"/>
      </rPr>
      <t>Наличие товара необходимо уточнять.</t>
    </r>
  </si>
  <si>
    <r>
      <t xml:space="preserve">- </t>
    </r>
    <r>
      <rPr>
        <i/>
        <u/>
        <sz val="12"/>
        <color theme="1"/>
        <rFont val="Arial Narrow"/>
        <family val="2"/>
        <charset val="204"/>
      </rPr>
      <t>Прямой стык</t>
    </r>
    <r>
      <rPr>
        <i/>
        <sz val="12"/>
        <color theme="1"/>
        <rFont val="Arial Narrow"/>
        <family val="2"/>
        <charset val="204"/>
      </rPr>
      <t xml:space="preserve">  столешницы возможен только с фаской тип 1. Если с помощью прямого стыка необходимо нарастить длину, стык возможно изготовить как с фаской тип 1, так и без обработки (по запросу).</t>
    </r>
  </si>
  <si>
    <r>
      <t xml:space="preserve">- </t>
    </r>
    <r>
      <rPr>
        <i/>
        <u/>
        <sz val="12"/>
        <color theme="1"/>
        <rFont val="Arial Narrow"/>
        <family val="2"/>
        <charset val="204"/>
      </rPr>
      <t>Еврозапил,</t>
    </r>
    <r>
      <rPr>
        <i/>
        <sz val="12"/>
        <color theme="1"/>
        <rFont val="Arial Narrow"/>
        <family val="2"/>
        <charset val="204"/>
      </rPr>
      <t xml:space="preserve"> по умолчанию, изготавливается без фаски, но возможно так же изготовление с фаской тип 1 (по запросу).</t>
    </r>
  </si>
  <si>
    <r>
      <t>8. Внешние торцы изделий без обработки (без фаски) требуют аккуратного обращения при монтаже, поскольку данные торцы более подвержены образованию сколов</t>
    </r>
    <r>
      <rPr>
        <sz val="12"/>
        <color theme="1"/>
        <rFont val="Arial Narrow"/>
        <family val="2"/>
        <charset val="204"/>
      </rPr>
      <t>.</t>
    </r>
  </si>
  <si>
    <t>ОПТ - 20%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</si>
</sst>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0_ ;[Red]\-#,##0.00\ "/>
  </numFmts>
  <fonts count="2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indexed="81"/>
      <name val="Tahoma"/>
      <family val="2"/>
      <charset val="204"/>
    </font>
    <font>
      <b/>
      <sz val="12"/>
      <color theme="1"/>
      <name val="Arial Narrow"/>
      <family val="2"/>
      <charset val="204"/>
    </font>
    <font>
      <b/>
      <sz val="18"/>
      <color rgb="FFC00000"/>
      <name val="Arial Narrow"/>
      <family val="2"/>
      <charset val="204"/>
    </font>
    <font>
      <b/>
      <sz val="12"/>
      <name val="Arial Narrow"/>
      <family val="2"/>
      <charset val="204"/>
    </font>
    <font>
      <b/>
      <i/>
      <sz val="12"/>
      <color theme="1"/>
      <name val="Arial Narrow"/>
      <family val="2"/>
      <charset val="204"/>
    </font>
    <font>
      <b/>
      <sz val="12"/>
      <color rgb="FFC00000"/>
      <name val="Arial Narrow"/>
      <family val="2"/>
      <charset val="204"/>
    </font>
    <font>
      <sz val="12"/>
      <color theme="1"/>
      <name val="Arial Narrow"/>
      <family val="2"/>
      <charset val="204"/>
    </font>
    <font>
      <sz val="12"/>
      <color rgb="FFC00000"/>
      <name val="Arial Narrow"/>
      <family val="2"/>
      <charset val="204"/>
    </font>
    <font>
      <b/>
      <sz val="12"/>
      <color rgb="FF7030A0"/>
      <name val="Arial Narrow"/>
      <family val="2"/>
      <charset val="204"/>
    </font>
    <font>
      <sz val="12"/>
      <name val="Arial Narrow"/>
      <family val="2"/>
      <charset val="204"/>
    </font>
    <font>
      <i/>
      <sz val="12"/>
      <color theme="1"/>
      <name val="Arial Narrow"/>
      <family val="2"/>
      <charset val="204"/>
    </font>
    <font>
      <i/>
      <u/>
      <sz val="12"/>
      <color theme="1"/>
      <name val="Arial Narrow"/>
      <family val="2"/>
      <charset val="204"/>
    </font>
    <font>
      <sz val="11"/>
      <color theme="1"/>
      <name val="Arial Narrow"/>
      <family val="2"/>
      <charset val="204"/>
    </font>
    <font>
      <b/>
      <sz val="12"/>
      <color rgb="FFFF0000"/>
      <name val="Arial Narrow"/>
      <family val="2"/>
      <charset val="204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9" tint="0.79998168889431442"/>
        <bgColor indexed="64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19">
    <xf numFmtId="0" fontId="0" fillId="0" borderId="0" xfId="0"/>
    <xf numFmtId="0" fontId="3" fillId="0" borderId="16" xfId="0" applyFont="1" applyBorder="1" applyAlignment="1" applyProtection="1">
      <alignment horizontal="center" vertical="center" wrapText="1"/>
      <protection hidden="1"/>
    </xf>
    <xf numFmtId="0" fontId="6" fillId="0" borderId="0" xfId="0" applyFont="1" applyAlignment="1" applyProtection="1">
      <alignment horizontal="left" vertical="center"/>
      <protection hidden="1"/>
    </xf>
    <xf numFmtId="0" fontId="8" fillId="0" borderId="0" xfId="0" applyFont="1" applyAlignment="1" applyProtection="1">
      <alignment horizontal="center" vertical="center" wrapText="1"/>
      <protection hidden="1"/>
    </xf>
    <xf numFmtId="44" fontId="7" fillId="2" borderId="16" xfId="0" applyNumberFormat="1" applyFont="1" applyFill="1" applyBorder="1" applyAlignment="1" applyProtection="1">
      <alignment horizontal="center" vertical="center" wrapText="1"/>
      <protection hidden="1"/>
    </xf>
    <xf numFmtId="0" fontId="3" fillId="0" borderId="28" xfId="0" applyFont="1" applyBorder="1" applyAlignment="1" applyProtection="1">
      <alignment horizontal="center" vertical="center" wrapText="1"/>
      <protection hidden="1"/>
    </xf>
    <xf numFmtId="0" fontId="8" fillId="2" borderId="35" xfId="0" applyFont="1" applyFill="1" applyBorder="1" applyAlignment="1" applyProtection="1">
      <alignment horizontal="center" vertical="center" wrapText="1"/>
      <protection hidden="1"/>
    </xf>
    <xf numFmtId="0" fontId="8" fillId="2" borderId="36" xfId="0" applyFont="1" applyFill="1" applyBorder="1" applyAlignment="1" applyProtection="1">
      <alignment horizontal="center" vertical="center" wrapText="1"/>
      <protection hidden="1"/>
    </xf>
    <xf numFmtId="0" fontId="8" fillId="2" borderId="28" xfId="0" applyFont="1" applyFill="1" applyBorder="1" applyAlignment="1" applyProtection="1">
      <alignment horizontal="center" vertical="center" wrapText="1"/>
      <protection hidden="1"/>
    </xf>
    <xf numFmtId="0" fontId="8" fillId="0" borderId="36" xfId="0" applyFont="1" applyBorder="1" applyAlignment="1" applyProtection="1">
      <alignment horizontal="center" vertical="center" wrapText="1"/>
      <protection hidden="1"/>
    </xf>
    <xf numFmtId="0" fontId="8" fillId="0" borderId="37" xfId="0" applyFont="1" applyBorder="1" applyAlignment="1" applyProtection="1">
      <alignment horizontal="center" vertical="center" wrapText="1"/>
      <protection hidden="1"/>
    </xf>
    <xf numFmtId="43" fontId="8" fillId="0" borderId="7" xfId="0" applyNumberFormat="1" applyFont="1" applyBorder="1" applyAlignment="1" applyProtection="1">
      <alignment horizontal="center" vertical="center" wrapText="1"/>
      <protection hidden="1"/>
    </xf>
    <xf numFmtId="43" fontId="8" fillId="0" borderId="35" xfId="0" applyNumberFormat="1" applyFont="1" applyBorder="1" applyAlignment="1" applyProtection="1">
      <alignment horizontal="center" vertical="center" wrapText="1"/>
      <protection hidden="1"/>
    </xf>
    <xf numFmtId="0" fontId="3" fillId="0" borderId="22" xfId="0" applyFont="1" applyBorder="1" applyAlignment="1" applyProtection="1">
      <alignment horizontal="center" vertical="center" wrapText="1"/>
      <protection hidden="1"/>
    </xf>
    <xf numFmtId="0" fontId="8" fillId="0" borderId="7" xfId="0" applyFont="1" applyBorder="1" applyAlignment="1" applyProtection="1">
      <alignment horizontal="center" vertical="center" wrapText="1"/>
      <protection hidden="1"/>
    </xf>
    <xf numFmtId="0" fontId="8" fillId="2" borderId="18" xfId="0" applyFont="1" applyFill="1" applyBorder="1" applyAlignment="1" applyProtection="1">
      <alignment horizontal="center" vertical="center" wrapText="1"/>
      <protection hidden="1"/>
    </xf>
    <xf numFmtId="43" fontId="8" fillId="0" borderId="19" xfId="0" applyNumberFormat="1" applyFont="1" applyBorder="1" applyAlignment="1" applyProtection="1">
      <alignment horizontal="center" vertical="center" wrapText="1"/>
      <protection hidden="1"/>
    </xf>
    <xf numFmtId="43" fontId="8" fillId="0" borderId="18" xfId="0" applyNumberFormat="1" applyFont="1" applyBorder="1" applyAlignment="1" applyProtection="1">
      <alignment horizontal="center" vertical="center" wrapText="1"/>
      <protection hidden="1"/>
    </xf>
    <xf numFmtId="0" fontId="3" fillId="0" borderId="23" xfId="0" applyFont="1" applyBorder="1" applyAlignment="1" applyProtection="1">
      <alignment horizontal="center" vertical="center" wrapText="1"/>
      <protection hidden="1"/>
    </xf>
    <xf numFmtId="0" fontId="8" fillId="2" borderId="6" xfId="0" applyFont="1" applyFill="1" applyBorder="1" applyAlignment="1" applyProtection="1">
      <alignment horizontal="center" vertical="center" wrapText="1"/>
      <protection hidden="1"/>
    </xf>
    <xf numFmtId="0" fontId="8" fillId="2" borderId="4" xfId="0" applyFont="1" applyFill="1" applyBorder="1" applyAlignment="1" applyProtection="1">
      <alignment horizontal="center" vertical="center" wrapText="1"/>
      <protection hidden="1"/>
    </xf>
    <xf numFmtId="0" fontId="8" fillId="2" borderId="23" xfId="0" applyFont="1" applyFill="1" applyBorder="1" applyAlignment="1" applyProtection="1">
      <alignment horizontal="center" vertical="center" wrapText="1"/>
      <protection hidden="1"/>
    </xf>
    <xf numFmtId="0" fontId="8" fillId="0" borderId="4" xfId="0" applyFont="1" applyBorder="1" applyAlignment="1" applyProtection="1">
      <alignment horizontal="center" vertical="center" wrapText="1"/>
      <protection hidden="1"/>
    </xf>
    <xf numFmtId="0" fontId="8" fillId="0" borderId="2" xfId="0" applyFont="1" applyBorder="1" applyAlignment="1" applyProtection="1">
      <alignment horizontal="center" vertical="center" wrapText="1"/>
      <protection hidden="1"/>
    </xf>
    <xf numFmtId="43" fontId="8" fillId="0" borderId="5" xfId="0" applyNumberFormat="1" applyFont="1" applyBorder="1" applyAlignment="1" applyProtection="1">
      <alignment horizontal="center" vertical="center" wrapText="1"/>
      <protection hidden="1"/>
    </xf>
    <xf numFmtId="43" fontId="8" fillId="0" borderId="6" xfId="0" applyNumberFormat="1" applyFont="1" applyBorder="1" applyAlignment="1" applyProtection="1">
      <alignment horizontal="center" vertical="center" wrapText="1"/>
      <protection hidden="1"/>
    </xf>
    <xf numFmtId="0" fontId="8" fillId="0" borderId="17" xfId="0" applyFont="1" applyBorder="1" applyAlignment="1" applyProtection="1">
      <alignment horizontal="center" vertical="center" wrapText="1"/>
      <protection hidden="1"/>
    </xf>
    <xf numFmtId="43" fontId="8" fillId="0" borderId="18" xfId="0" applyNumberFormat="1" applyFont="1" applyBorder="1" applyAlignment="1" applyProtection="1">
      <alignment horizontal="right" vertical="center" wrapText="1"/>
      <protection hidden="1"/>
    </xf>
    <xf numFmtId="0" fontId="3" fillId="0" borderId="20" xfId="0" applyFont="1" applyBorder="1" applyAlignment="1" applyProtection="1">
      <alignment horizontal="left" vertical="center" wrapText="1"/>
      <protection hidden="1"/>
    </xf>
    <xf numFmtId="0" fontId="8" fillId="2" borderId="40" xfId="0" applyFont="1" applyFill="1" applyBorder="1" applyAlignment="1" applyProtection="1">
      <alignment horizontal="center" vertical="center" wrapText="1"/>
      <protection hidden="1"/>
    </xf>
    <xf numFmtId="0" fontId="8" fillId="0" borderId="38" xfId="0" applyFont="1" applyBorder="1" applyAlignment="1" applyProtection="1">
      <alignment horizontal="center" vertical="center" wrapText="1"/>
      <protection hidden="1"/>
    </xf>
    <xf numFmtId="0" fontId="8" fillId="0" borderId="41" xfId="0" applyFont="1" applyBorder="1" applyAlignment="1" applyProtection="1">
      <alignment horizontal="center" vertical="center" wrapText="1"/>
      <protection hidden="1"/>
    </xf>
    <xf numFmtId="43" fontId="8" fillId="0" borderId="39" xfId="0" applyNumberFormat="1" applyFont="1" applyBorder="1" applyAlignment="1" applyProtection="1">
      <alignment horizontal="center" vertical="center" wrapText="1"/>
      <protection hidden="1"/>
    </xf>
    <xf numFmtId="0" fontId="8" fillId="0" borderId="5" xfId="0" applyFont="1" applyBorder="1" applyAlignment="1" applyProtection="1">
      <alignment horizontal="center" vertical="center" wrapText="1"/>
      <protection hidden="1"/>
    </xf>
    <xf numFmtId="43" fontId="8" fillId="0" borderId="4" xfId="0" applyNumberFormat="1" applyFont="1" applyBorder="1" applyAlignment="1" applyProtection="1">
      <alignment horizontal="center" vertical="center" wrapText="1"/>
      <protection hidden="1"/>
    </xf>
    <xf numFmtId="0" fontId="3" fillId="0" borderId="40" xfId="0" applyFont="1" applyBorder="1" applyAlignment="1" applyProtection="1">
      <alignment horizontal="center" vertical="center" wrapText="1"/>
      <protection hidden="1"/>
    </xf>
    <xf numFmtId="0" fontId="3" fillId="0" borderId="24" xfId="0" applyFont="1" applyBorder="1" applyAlignment="1" applyProtection="1">
      <alignment horizontal="center" vertical="center" wrapText="1"/>
      <protection hidden="1"/>
    </xf>
    <xf numFmtId="0" fontId="8" fillId="2" borderId="24" xfId="0" applyFont="1" applyFill="1" applyBorder="1" applyAlignment="1" applyProtection="1">
      <alignment horizontal="center" vertical="center" wrapText="1"/>
      <protection hidden="1"/>
    </xf>
    <xf numFmtId="0" fontId="8" fillId="0" borderId="11" xfId="0" applyFont="1" applyBorder="1" applyAlignment="1" applyProtection="1">
      <alignment horizontal="center" vertical="center" wrapText="1"/>
      <protection hidden="1"/>
    </xf>
    <xf numFmtId="0" fontId="8" fillId="0" borderId="8" xfId="0" applyFont="1" applyBorder="1" applyAlignment="1" applyProtection="1">
      <alignment horizontal="center" vertical="center" wrapText="1"/>
      <protection hidden="1"/>
    </xf>
    <xf numFmtId="43" fontId="8" fillId="0" borderId="17" xfId="0" applyNumberFormat="1" applyFont="1" applyBorder="1" applyAlignment="1" applyProtection="1">
      <alignment horizontal="center" vertical="center" wrapText="1"/>
      <protection hidden="1"/>
    </xf>
    <xf numFmtId="43" fontId="8" fillId="0" borderId="10" xfId="0" applyNumberFormat="1" applyFont="1" applyBorder="1" applyAlignment="1" applyProtection="1">
      <alignment horizontal="center" vertical="center" wrapText="1"/>
      <protection hidden="1"/>
    </xf>
    <xf numFmtId="0" fontId="8" fillId="2" borderId="1" xfId="0" applyFont="1" applyFill="1" applyBorder="1" applyAlignment="1" applyProtection="1">
      <alignment horizontal="center" vertical="center" wrapText="1"/>
      <protection hidden="1"/>
    </xf>
    <xf numFmtId="49" fontId="3" fillId="0" borderId="0" xfId="0" applyNumberFormat="1" applyFont="1" applyAlignment="1" applyProtection="1">
      <alignment horizontal="left" vertical="center"/>
      <protection hidden="1"/>
    </xf>
    <xf numFmtId="0" fontId="5" fillId="0" borderId="0" xfId="0" applyFont="1" applyAlignment="1" applyProtection="1">
      <alignment horizontal="center" wrapText="1"/>
      <protection hidden="1"/>
    </xf>
    <xf numFmtId="164" fontId="5" fillId="0" borderId="0" xfId="0" applyNumberFormat="1" applyFont="1" applyAlignment="1" applyProtection="1">
      <alignment horizontal="center" vertical="center" wrapText="1"/>
      <protection hidden="1"/>
    </xf>
    <xf numFmtId="0" fontId="8" fillId="0" borderId="0" xfId="0" applyFont="1" applyAlignment="1" applyProtection="1">
      <alignment horizontal="left" vertical="center"/>
      <protection hidden="1"/>
    </xf>
    <xf numFmtId="0" fontId="8" fillId="0" borderId="9" xfId="0" applyFont="1" applyBorder="1" applyAlignment="1" applyProtection="1">
      <alignment horizontal="center" vertical="center" wrapText="1"/>
      <protection hidden="1"/>
    </xf>
    <xf numFmtId="0" fontId="8" fillId="2" borderId="10" xfId="0" applyFont="1" applyFill="1" applyBorder="1" applyAlignment="1" applyProtection="1">
      <alignment horizontal="center" vertical="center" wrapText="1"/>
      <protection hidden="1"/>
    </xf>
    <xf numFmtId="43" fontId="8" fillId="0" borderId="11" xfId="0" applyNumberFormat="1" applyFont="1" applyBorder="1" applyAlignment="1" applyProtection="1">
      <alignment horizontal="center" vertical="center" wrapText="1"/>
      <protection hidden="1"/>
    </xf>
    <xf numFmtId="10" fontId="7" fillId="2" borderId="25" xfId="0" applyNumberFormat="1" applyFont="1" applyFill="1" applyBorder="1" applyAlignment="1" applyProtection="1">
      <alignment horizontal="right" vertical="center" wrapText="1"/>
      <protection hidden="1"/>
    </xf>
    <xf numFmtId="0" fontId="12" fillId="0" borderId="0" xfId="0" applyFont="1" applyAlignment="1" applyProtection="1">
      <alignment horizontal="left" vertical="center"/>
      <protection hidden="1"/>
    </xf>
    <xf numFmtId="0" fontId="12" fillId="0" borderId="0" xfId="0" applyFont="1" applyAlignment="1">
      <alignment vertical="center"/>
    </xf>
    <xf numFmtId="0" fontId="8" fillId="0" borderId="0" xfId="0" applyFont="1" applyProtection="1">
      <protection hidden="1"/>
    </xf>
    <xf numFmtId="0" fontId="14" fillId="0" borderId="0" xfId="0" applyFont="1"/>
    <xf numFmtId="0" fontId="5" fillId="0" borderId="16" xfId="0" applyFont="1" applyBorder="1" applyAlignment="1" applyProtection="1">
      <alignment horizontal="center" vertical="center" wrapText="1"/>
      <protection hidden="1"/>
    </xf>
    <xf numFmtId="2" fontId="15" fillId="2" borderId="16" xfId="0" applyNumberFormat="1" applyFont="1" applyFill="1" applyBorder="1" applyAlignment="1" applyProtection="1">
      <alignment horizontal="center" vertical="center" wrapText="1"/>
      <protection hidden="1"/>
    </xf>
    <xf numFmtId="0" fontId="14" fillId="0" borderId="0" xfId="0" applyFont="1" applyAlignment="1">
      <alignment vertical="center"/>
    </xf>
    <xf numFmtId="0" fontId="3" fillId="3" borderId="16" xfId="0" applyFont="1" applyFill="1" applyBorder="1" applyAlignment="1" applyProtection="1">
      <alignment horizontal="center" vertical="center" wrapText="1"/>
      <protection hidden="1"/>
    </xf>
    <xf numFmtId="0" fontId="3" fillId="3" borderId="14" xfId="0" applyFont="1" applyFill="1" applyBorder="1" applyAlignment="1" applyProtection="1">
      <alignment horizontal="center" vertical="center" wrapText="1"/>
      <protection hidden="1"/>
    </xf>
    <xf numFmtId="0" fontId="3" fillId="3" borderId="12" xfId="0" applyFont="1" applyFill="1" applyBorder="1" applyAlignment="1" applyProtection="1">
      <alignment horizontal="center" vertical="center" wrapText="1"/>
      <protection hidden="1"/>
    </xf>
    <xf numFmtId="0" fontId="3" fillId="3" borderId="15" xfId="0" applyFont="1" applyFill="1" applyBorder="1" applyAlignment="1" applyProtection="1">
      <alignment horizontal="center" vertical="center" wrapText="1"/>
      <protection hidden="1"/>
    </xf>
    <xf numFmtId="0" fontId="3" fillId="3" borderId="13" xfId="0" applyFont="1" applyFill="1" applyBorder="1" applyAlignment="1" applyProtection="1">
      <alignment horizontal="center" vertical="center" wrapText="1"/>
      <protection hidden="1"/>
    </xf>
    <xf numFmtId="43" fontId="3" fillId="3" borderId="12" xfId="0" applyNumberFormat="1" applyFont="1" applyFill="1" applyBorder="1" applyAlignment="1" applyProtection="1">
      <alignment horizontal="center" vertical="center" wrapText="1"/>
      <protection hidden="1"/>
    </xf>
    <xf numFmtId="43" fontId="5" fillId="3" borderId="14" xfId="0" applyNumberFormat="1" applyFont="1" applyFill="1" applyBorder="1" applyAlignment="1" applyProtection="1">
      <alignment horizontal="center" vertical="center" wrapText="1"/>
      <protection hidden="1"/>
    </xf>
    <xf numFmtId="0" fontId="3" fillId="0" borderId="33" xfId="0" applyFont="1" applyBorder="1" applyAlignment="1" applyProtection="1">
      <alignment horizontal="left" vertical="center" wrapText="1"/>
      <protection hidden="1"/>
    </xf>
    <xf numFmtId="0" fontId="3" fillId="0" borderId="3" xfId="0" applyFont="1" applyBorder="1" applyAlignment="1" applyProtection="1">
      <alignment horizontal="left" vertical="center" wrapText="1"/>
      <protection hidden="1"/>
    </xf>
    <xf numFmtId="0" fontId="8" fillId="3" borderId="0" xfId="0" applyFont="1" applyFill="1" applyAlignment="1" applyProtection="1">
      <alignment horizontal="left" vertical="top" wrapText="1"/>
      <protection hidden="1"/>
    </xf>
    <xf numFmtId="0" fontId="3" fillId="3" borderId="13" xfId="0" applyFont="1" applyFill="1" applyBorder="1" applyAlignment="1" applyProtection="1">
      <alignment horizontal="center" vertical="center" wrapText="1"/>
      <protection hidden="1"/>
    </xf>
    <xf numFmtId="0" fontId="3" fillId="3" borderId="27" xfId="0" applyFont="1" applyFill="1" applyBorder="1" applyAlignment="1" applyProtection="1">
      <alignment horizontal="center" vertical="center" wrapText="1"/>
      <protection hidden="1"/>
    </xf>
    <xf numFmtId="0" fontId="3" fillId="3" borderId="15" xfId="0" applyFont="1" applyFill="1" applyBorder="1" applyAlignment="1" applyProtection="1">
      <alignment horizontal="center" vertical="center" wrapText="1"/>
      <protection hidden="1"/>
    </xf>
    <xf numFmtId="0" fontId="4" fillId="3" borderId="26" xfId="0" applyFont="1" applyFill="1" applyBorder="1" applyAlignment="1" applyProtection="1">
      <alignment horizontal="center" vertical="center" wrapText="1"/>
      <protection hidden="1"/>
    </xf>
    <xf numFmtId="0" fontId="4" fillId="3" borderId="27" xfId="0" applyFont="1" applyFill="1" applyBorder="1" applyAlignment="1" applyProtection="1">
      <alignment horizontal="center" vertical="center" wrapText="1"/>
      <protection hidden="1"/>
    </xf>
    <xf numFmtId="0" fontId="3" fillId="3" borderId="26" xfId="0" applyFont="1" applyFill="1" applyBorder="1" applyAlignment="1" applyProtection="1">
      <alignment horizontal="center" vertical="center" wrapText="1"/>
      <protection hidden="1"/>
    </xf>
    <xf numFmtId="0" fontId="8" fillId="0" borderId="33" xfId="0" applyFont="1" applyBorder="1" applyAlignment="1" applyProtection="1">
      <alignment horizontal="left" vertical="center" wrapText="1"/>
      <protection hidden="1"/>
    </xf>
    <xf numFmtId="0" fontId="8" fillId="0" borderId="3" xfId="0" applyFont="1" applyBorder="1" applyAlignment="1" applyProtection="1">
      <alignment horizontal="left" vertical="center" wrapText="1"/>
      <protection hidden="1"/>
    </xf>
    <xf numFmtId="0" fontId="8" fillId="0" borderId="20" xfId="0" applyFont="1" applyBorder="1" applyAlignment="1" applyProtection="1">
      <alignment horizontal="left" vertical="center" wrapText="1"/>
      <protection hidden="1"/>
    </xf>
    <xf numFmtId="0" fontId="8" fillId="0" borderId="34" xfId="0" applyFont="1" applyBorder="1" applyAlignment="1" applyProtection="1">
      <alignment horizontal="left" vertical="center" wrapText="1"/>
      <protection hidden="1"/>
    </xf>
    <xf numFmtId="0" fontId="8" fillId="0" borderId="30" xfId="0" applyFont="1" applyBorder="1" applyAlignment="1" applyProtection="1">
      <alignment horizontal="left" vertical="center" wrapText="1"/>
      <protection hidden="1"/>
    </xf>
    <xf numFmtId="0" fontId="8" fillId="0" borderId="21" xfId="0" applyFont="1" applyBorder="1" applyAlignment="1" applyProtection="1">
      <alignment horizontal="left" vertical="center" wrapText="1"/>
      <protection hidden="1"/>
    </xf>
    <xf numFmtId="0" fontId="7" fillId="0" borderId="26" xfId="0" applyFont="1" applyBorder="1" applyAlignment="1" applyProtection="1">
      <alignment horizontal="center" vertical="center" wrapText="1"/>
      <protection hidden="1"/>
    </xf>
    <xf numFmtId="0" fontId="7" fillId="0" borderId="27" xfId="0" applyFont="1" applyBorder="1" applyAlignment="1" applyProtection="1">
      <alignment horizontal="center" vertical="center" wrapText="1"/>
      <protection hidden="1"/>
    </xf>
    <xf numFmtId="0" fontId="7" fillId="0" borderId="15" xfId="0" applyFont="1" applyBorder="1" applyAlignment="1" applyProtection="1">
      <alignment horizontal="center" vertical="center" wrapText="1"/>
      <protection hidden="1"/>
    </xf>
    <xf numFmtId="0" fontId="9" fillId="0" borderId="13" xfId="0" applyFont="1" applyBorder="1" applyAlignment="1" applyProtection="1">
      <alignment horizontal="center" vertical="center" wrapText="1"/>
      <protection hidden="1"/>
    </xf>
    <xf numFmtId="0" fontId="9" fillId="0" borderId="27" xfId="0" applyFont="1" applyBorder="1" applyAlignment="1" applyProtection="1">
      <alignment horizontal="center" vertical="center" wrapText="1"/>
      <protection hidden="1"/>
    </xf>
    <xf numFmtId="0" fontId="9" fillId="0" borderId="15" xfId="0" applyFont="1" applyBorder="1" applyAlignment="1" applyProtection="1">
      <alignment horizontal="center" vertical="center" wrapText="1"/>
      <protection hidden="1"/>
    </xf>
    <xf numFmtId="43" fontId="4" fillId="3" borderId="27" xfId="0" applyNumberFormat="1" applyFont="1" applyFill="1" applyBorder="1" applyAlignment="1" applyProtection="1">
      <alignment horizontal="center" vertical="center" wrapText="1"/>
      <protection hidden="1"/>
    </xf>
    <xf numFmtId="43" fontId="4" fillId="3" borderId="25" xfId="0" applyNumberFormat="1" applyFont="1" applyFill="1" applyBorder="1" applyAlignment="1" applyProtection="1">
      <alignment horizontal="center" vertical="center" wrapText="1"/>
      <protection hidden="1"/>
    </xf>
    <xf numFmtId="0" fontId="3" fillId="3" borderId="25" xfId="0" applyFont="1" applyFill="1" applyBorder="1" applyAlignment="1" applyProtection="1">
      <alignment horizontal="center" vertical="center" wrapText="1"/>
      <protection hidden="1"/>
    </xf>
    <xf numFmtId="0" fontId="3" fillId="0" borderId="26" xfId="0" applyFont="1" applyBorder="1" applyAlignment="1" applyProtection="1">
      <alignment horizontal="center" vertical="center" wrapText="1"/>
      <protection hidden="1"/>
    </xf>
    <xf numFmtId="0" fontId="3" fillId="0" borderId="27" xfId="0" applyFont="1" applyBorder="1" applyAlignment="1" applyProtection="1">
      <alignment horizontal="center" vertical="center" wrapText="1"/>
      <protection hidden="1"/>
    </xf>
    <xf numFmtId="0" fontId="3" fillId="0" borderId="25" xfId="0" applyFont="1" applyBorder="1" applyAlignment="1" applyProtection="1">
      <alignment horizontal="center" vertical="center" wrapText="1"/>
      <protection hidden="1"/>
    </xf>
    <xf numFmtId="0" fontId="3" fillId="2" borderId="26" xfId="0" applyFont="1" applyFill="1" applyBorder="1" applyAlignment="1" applyProtection="1">
      <alignment horizontal="center" vertical="center" wrapText="1"/>
      <protection hidden="1"/>
    </xf>
    <xf numFmtId="0" fontId="3" fillId="2" borderId="27" xfId="0" applyFont="1" applyFill="1" applyBorder="1" applyAlignment="1" applyProtection="1">
      <alignment horizontal="center" vertical="center" wrapText="1"/>
      <protection hidden="1"/>
    </xf>
    <xf numFmtId="0" fontId="3" fillId="2" borderId="25" xfId="0" applyFont="1" applyFill="1" applyBorder="1" applyAlignment="1" applyProtection="1">
      <alignment horizontal="center" vertical="center" wrapText="1"/>
      <protection hidden="1"/>
    </xf>
    <xf numFmtId="0" fontId="8" fillId="0" borderId="31" xfId="0" applyFont="1" applyBorder="1" applyAlignment="1" applyProtection="1">
      <alignment horizontal="left" vertical="center" wrapText="1"/>
      <protection hidden="1"/>
    </xf>
    <xf numFmtId="0" fontId="8" fillId="0" borderId="29" xfId="0" applyFont="1" applyBorder="1" applyAlignment="1" applyProtection="1">
      <alignment horizontal="left" vertical="center" wrapText="1"/>
      <protection hidden="1"/>
    </xf>
    <xf numFmtId="0" fontId="8" fillId="0" borderId="32" xfId="0" applyFont="1" applyBorder="1" applyAlignment="1" applyProtection="1">
      <alignment horizontal="left" vertical="center" wrapText="1"/>
      <protection hidden="1"/>
    </xf>
    <xf numFmtId="0" fontId="3" fillId="0" borderId="20" xfId="0" applyFont="1" applyBorder="1" applyAlignment="1" applyProtection="1">
      <alignment horizontal="left" vertical="center" wrapText="1"/>
      <protection hidden="1"/>
    </xf>
    <xf numFmtId="0" fontId="16" fillId="0" borderId="0" xfId="0" applyFont="1" applyFill="1" applyAlignment="1" applyProtection="1">
      <alignment horizontal="center" vertical="center"/>
      <protection hidden="1"/>
    </xf>
    <xf numFmtId="0" fontId="17" fillId="0" borderId="0" xfId="0" applyFont="1" applyFill="1" applyAlignment="1" applyProtection="1">
      <alignment horizontal="center" vertical="center"/>
      <protection hidden="1"/>
    </xf>
    <xf numFmtId="0" fontId="17" fillId="0" borderId="0" xfId="0" applyFont="1" applyFill="1" applyAlignment="1" applyProtection="1">
      <alignment horizontal="center" vertical="center"/>
      <protection hidden="1"/>
    </xf>
    <xf numFmtId="0" fontId="16" fillId="0" borderId="0" xfId="0" applyFont="1" applyFill="1" applyAlignment="1" applyProtection="1">
      <alignment horizontal="center" vertical="center"/>
      <protection hidden="1"/>
    </xf>
    <xf numFmtId="43" fontId="16" fillId="0" borderId="0" xfId="0" applyNumberFormat="1" applyFont="1" applyFill="1" applyAlignment="1" applyProtection="1">
      <alignment horizontal="center" vertical="center"/>
      <protection hidden="1"/>
    </xf>
    <xf numFmtId="0" fontId="17" fillId="0" borderId="0" xfId="0" applyFont="1" applyFill="1" applyAlignment="1" applyProtection="1">
      <alignment horizontal="center" vertical="center" wrapText="1"/>
      <protection hidden="1"/>
    </xf>
    <xf numFmtId="0" fontId="18" fillId="0" borderId="0" xfId="0" applyFont="1" applyFill="1" applyAlignment="1" applyProtection="1">
      <alignment horizontal="center" vertical="center"/>
      <protection hidden="1"/>
    </xf>
    <xf numFmtId="0" fontId="19" fillId="0" borderId="0" xfId="0" applyFont="1" applyFill="1" applyAlignment="1" applyProtection="1">
      <alignment horizontal="center" vertical="center" wrapText="1"/>
      <protection hidden="1"/>
    </xf>
    <xf numFmtId="0" fontId="19" fillId="0" borderId="0" xfId="0" applyFont="1" applyFill="1" applyAlignment="1" applyProtection="1">
      <alignment horizontal="center" vertical="center"/>
      <protection hidden="1"/>
    </xf>
    <xf numFmtId="0" fontId="20" fillId="0" borderId="0" xfId="0" applyFont="1" applyFill="1" applyAlignment="1" applyProtection="1">
      <alignment horizontal="center" vertical="center" wrapText="1"/>
      <protection hidden="1"/>
    </xf>
    <xf numFmtId="0" fontId="20" fillId="0" borderId="0" xfId="0" applyFont="1" applyFill="1" applyAlignment="1" applyProtection="1">
      <alignment horizontal="center" vertical="center"/>
      <protection hidden="1"/>
    </xf>
    <xf numFmtId="0" fontId="18" fillId="0" borderId="0" xfId="0" applyFont="1" applyFill="1" applyAlignment="1" applyProtection="1">
      <alignment horizontal="center" vertical="center" wrapText="1"/>
      <protection hidden="1"/>
    </xf>
    <xf numFmtId="0" fontId="16" fillId="0" borderId="0" xfId="0" applyFont="1" applyFill="1" applyAlignment="1" applyProtection="1">
      <alignment horizontal="center" vertical="center" wrapText="1"/>
      <protection hidden="1"/>
    </xf>
    <xf numFmtId="0" fontId="16" fillId="0" borderId="0" xfId="0" applyFont="1" applyFill="1" applyAlignment="1" applyProtection="1">
      <alignment horizontal="left" vertical="center" wrapText="1"/>
      <protection hidden="1"/>
    </xf>
    <xf numFmtId="43" fontId="17" fillId="0" borderId="0" xfId="0" applyNumberFormat="1" applyFont="1" applyFill="1" applyAlignment="1" applyProtection="1">
      <alignment horizontal="center" vertical="center" wrapText="1"/>
      <protection hidden="1"/>
    </xf>
    <xf numFmtId="49" fontId="19" fillId="0" borderId="0" xfId="0" applyNumberFormat="1" applyFont="1" applyFill="1" applyAlignment="1" applyProtection="1">
      <alignment horizontal="center" vertical="center" wrapText="1"/>
      <protection hidden="1"/>
    </xf>
    <xf numFmtId="43" fontId="21" fillId="0" borderId="0" xfId="0" applyNumberFormat="1" applyFont="1" applyFill="1" applyAlignment="1" applyProtection="1">
      <alignment horizontal="center" vertical="center"/>
      <protection hidden="1"/>
    </xf>
    <xf numFmtId="0" fontId="22" fillId="0" borderId="0" xfId="0" applyFont="1" applyFill="1" applyAlignment="1" applyProtection="1">
      <alignment horizontal="center" vertical="center" wrapText="1"/>
      <protection hidden="1"/>
    </xf>
    <xf numFmtId="43" fontId="17" fillId="0" borderId="0" xfId="0" applyNumberFormat="1" applyFont="1" applyFill="1" applyAlignment="1" applyProtection="1">
      <alignment horizontal="center" vertical="center"/>
      <protection hidden="1"/>
    </xf>
    <xf numFmtId="0" fontId="16" fillId="0" borderId="0" xfId="0" applyFont="1" applyFill="1" applyProtection="1">
      <protection hidden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FF99"/>
      <color rgb="FFCCECFF"/>
      <color rgb="FFCCFFCC"/>
      <color rgb="FFFFDD71"/>
      <color rgb="FFFFD757"/>
      <color rgb="FFFFCC66"/>
      <color rgb="FFCCFF99"/>
      <color rgb="FFFFCCCC"/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png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605117</xdr:colOff>
      <xdr:row>40</xdr:row>
      <xdr:rowOff>168089</xdr:rowOff>
    </xdr:from>
    <xdr:to>
      <xdr:col>3</xdr:col>
      <xdr:colOff>862526</xdr:colOff>
      <xdr:row>43</xdr:row>
      <xdr:rowOff>173272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69672604-32A1-4515-BE57-8DF65BD7EC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0235" y="8662148"/>
          <a:ext cx="2117585" cy="6551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940874</xdr:colOff>
      <xdr:row>41</xdr:row>
      <xdr:rowOff>60932</xdr:rowOff>
    </xdr:from>
    <xdr:to>
      <xdr:col>6</xdr:col>
      <xdr:colOff>329312</xdr:colOff>
      <xdr:row>43</xdr:row>
      <xdr:rowOff>212577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32CB3844-B50F-4DAF-99C8-DEF81A39FE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6168" y="8745491"/>
          <a:ext cx="2111468" cy="599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323990</xdr:colOff>
      <xdr:row>41</xdr:row>
      <xdr:rowOff>60933</xdr:rowOff>
    </xdr:from>
    <xdr:to>
      <xdr:col>8</xdr:col>
      <xdr:colOff>424562</xdr:colOff>
      <xdr:row>43</xdr:row>
      <xdr:rowOff>207013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8A2CE878-C601-473E-BA38-46A9E63A19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12314" y="9148904"/>
          <a:ext cx="1994366" cy="5943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493199</xdr:colOff>
      <xdr:row>40</xdr:row>
      <xdr:rowOff>168788</xdr:rowOff>
    </xdr:from>
    <xdr:to>
      <xdr:col>11</xdr:col>
      <xdr:colOff>844222</xdr:colOff>
      <xdr:row>44</xdr:row>
      <xdr:rowOff>159403</xdr:rowOff>
    </xdr:to>
    <xdr:pic>
      <xdr:nvPicPr>
        <xdr:cNvPr id="16" name="Рисунок 15">
          <a:extLst>
            <a:ext uri="{FF2B5EF4-FFF2-40B4-BE49-F238E27FC236}">
              <a16:creationId xmlns:a16="http://schemas.microsoft.com/office/drawing/2014/main" id="{8100508B-5376-4F3C-87E7-BE2DB27784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75317" y="8662847"/>
          <a:ext cx="2009493" cy="864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1025479</xdr:colOff>
      <xdr:row>41</xdr:row>
      <xdr:rowOff>2802</xdr:rowOff>
    </xdr:from>
    <xdr:to>
      <xdr:col>13</xdr:col>
      <xdr:colOff>315367</xdr:colOff>
      <xdr:row>44</xdr:row>
      <xdr:rowOff>138674</xdr:rowOff>
    </xdr:to>
    <xdr:pic>
      <xdr:nvPicPr>
        <xdr:cNvPr id="17" name="Рисунок 16">
          <a:extLst>
            <a:ext uri="{FF2B5EF4-FFF2-40B4-BE49-F238E27FC236}">
              <a16:creationId xmlns:a16="http://schemas.microsoft.com/office/drawing/2014/main" id="{478484AA-4B56-4E08-81BA-ABD88E5D60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6067" y="9090773"/>
          <a:ext cx="2057741" cy="80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560294</xdr:colOff>
      <xdr:row>0</xdr:row>
      <xdr:rowOff>0</xdr:rowOff>
    </xdr:from>
    <xdr:to>
      <xdr:col>2</xdr:col>
      <xdr:colOff>1038453</xdr:colOff>
      <xdr:row>2</xdr:row>
      <xdr:rowOff>150158</xdr:rowOff>
    </xdr:to>
    <xdr:pic>
      <xdr:nvPicPr>
        <xdr:cNvPr id="3" name="Рисунок 2" descr="Material - под камень">
          <a:extLst>
            <a:ext uri="{FF2B5EF4-FFF2-40B4-BE49-F238E27FC236}">
              <a16:creationId xmlns:a16="http://schemas.microsoft.com/office/drawing/2014/main" id="{C98A6259-B892-F837-0C4F-4CEB29AD96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294" y="0"/>
          <a:ext cx="1890100" cy="6432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Y70"/>
  <sheetViews>
    <sheetView showGridLines="0" tabSelected="1" zoomScale="85" zoomScaleNormal="85" workbookViewId="0">
      <selection activeCell="M5" sqref="M5"/>
    </sheetView>
  </sheetViews>
  <sheetFormatPr defaultRowHeight="15.75" x14ac:dyDescent="0.25"/>
  <cols>
    <col min="1" max="1" width="9.140625" style="3"/>
    <col min="2" max="2" width="12.140625" style="3" customWidth="1"/>
    <col min="3" max="3" width="15.7109375" style="3" customWidth="1"/>
    <col min="4" max="4" width="18.7109375" style="3" customWidth="1"/>
    <col min="5" max="5" width="10.7109375" style="3" customWidth="1"/>
    <col min="6" max="6" width="11.42578125" style="3" customWidth="1"/>
    <col min="7" max="7" width="12.5703125" style="3" customWidth="1"/>
    <col min="8" max="9" width="15.7109375" style="3" customWidth="1"/>
    <col min="10" max="11" width="4.5703125" style="3" customWidth="1"/>
    <col min="12" max="12" width="22.140625" style="3" customWidth="1"/>
    <col min="13" max="13" width="19.28515625" style="3" customWidth="1"/>
    <col min="14" max="14" width="13.5703125" style="3" customWidth="1"/>
    <col min="15" max="15" width="9.7109375" style="3" customWidth="1"/>
    <col min="16" max="16" width="8.7109375" style="3" customWidth="1"/>
    <col min="17" max="17" width="15.5703125" style="3" customWidth="1"/>
    <col min="18" max="18" width="17.5703125" style="3" customWidth="1"/>
    <col min="19" max="25" width="9.140625" style="3"/>
    <col min="26" max="16384" width="9.140625" style="53"/>
  </cols>
  <sheetData>
    <row r="1" spans="2:18" s="3" customFormat="1" ht="20.100000000000001" customHeight="1" x14ac:dyDescent="0.25"/>
    <row r="2" spans="2:18" s="3" customFormat="1" ht="20.100000000000001" customHeight="1" thickBot="1" x14ac:dyDescent="0.3"/>
    <row r="3" spans="2:18" s="3" customFormat="1" ht="20.100000000000001" customHeight="1" thickBot="1" x14ac:dyDescent="0.3">
      <c r="H3" s="58" t="s">
        <v>92</v>
      </c>
      <c r="I3" s="4">
        <v>105</v>
      </c>
    </row>
    <row r="4" spans="2:18" s="3" customFormat="1" ht="9.75" customHeight="1" thickBot="1" x14ac:dyDescent="0.3"/>
    <row r="5" spans="2:18" s="3" customFormat="1" ht="20.100000000000001" customHeight="1" thickBot="1" x14ac:dyDescent="0.3">
      <c r="B5" s="73" t="s">
        <v>91</v>
      </c>
      <c r="C5" s="69"/>
      <c r="D5" s="69"/>
      <c r="E5" s="69"/>
      <c r="F5" s="69"/>
      <c r="G5" s="69"/>
      <c r="H5" s="69"/>
      <c r="I5" s="88"/>
      <c r="N5"/>
    </row>
    <row r="6" spans="2:18" s="3" customFormat="1" ht="7.5" customHeight="1" thickBot="1" x14ac:dyDescent="0.3"/>
    <row r="7" spans="2:18" s="3" customFormat="1" ht="33.75" customHeight="1" thickBot="1" x14ac:dyDescent="0.3">
      <c r="B7" s="1" t="s">
        <v>34</v>
      </c>
      <c r="C7" s="89" t="s">
        <v>66</v>
      </c>
      <c r="D7" s="90"/>
      <c r="E7" s="90"/>
      <c r="F7" s="90"/>
      <c r="G7" s="90"/>
      <c r="H7" s="90"/>
      <c r="I7" s="91"/>
    </row>
    <row r="8" spans="2:18" s="3" customFormat="1" ht="20.100000000000001" customHeight="1" thickBot="1" x14ac:dyDescent="0.3">
      <c r="B8" s="1" t="s">
        <v>35</v>
      </c>
      <c r="C8" s="92" t="s">
        <v>61</v>
      </c>
      <c r="D8" s="93"/>
      <c r="E8" s="93"/>
      <c r="F8" s="93"/>
      <c r="G8" s="93"/>
      <c r="H8" s="93"/>
      <c r="I8" s="94"/>
    </row>
    <row r="9" spans="2:18" s="3" customFormat="1" ht="20.100000000000001" customHeight="1" thickBot="1" x14ac:dyDescent="0.3">
      <c r="B9" s="1" t="s">
        <v>36</v>
      </c>
      <c r="C9" s="89" t="str">
        <f>IF(C8=ДАТ!B25,ДАТ!B26,IF(C8=ДАТ!C25,ДАТ!C26,IF(C8=ДАТ!D25,ДАТ!D26,IF(C8=ДАТ!E25,ДАТ!E26,IF(C8=ДАТ!F25,ДАТ!F26,IF(C8=ДАТ!G25,ДАТ!G26,ДАТ!G24))))))</f>
        <v>0599/0585/0581/0566/0565/0331/0260/0048</v>
      </c>
      <c r="D9" s="90"/>
      <c r="E9" s="90"/>
      <c r="F9" s="90"/>
      <c r="G9" s="90"/>
      <c r="H9" s="90"/>
      <c r="I9" s="91"/>
    </row>
    <row r="10" spans="2:18" s="3" customFormat="1" ht="9.75" customHeight="1" thickBot="1" x14ac:dyDescent="0.3"/>
    <row r="11" spans="2:18" s="3" customFormat="1" ht="35.1" customHeight="1" thickBot="1" x14ac:dyDescent="0.3">
      <c r="B11" s="58" t="s">
        <v>2</v>
      </c>
      <c r="C11" s="59" t="s">
        <v>33</v>
      </c>
      <c r="D11" s="60" t="s">
        <v>32</v>
      </c>
      <c r="E11" s="58" t="s">
        <v>5</v>
      </c>
      <c r="F11" s="61" t="s">
        <v>7</v>
      </c>
      <c r="G11" s="62" t="s">
        <v>6</v>
      </c>
      <c r="H11" s="60" t="s">
        <v>37</v>
      </c>
      <c r="I11" s="59" t="s">
        <v>38</v>
      </c>
      <c r="K11" s="58" t="s">
        <v>2</v>
      </c>
      <c r="L11" s="73" t="s">
        <v>39</v>
      </c>
      <c r="M11" s="69"/>
      <c r="N11" s="88"/>
      <c r="O11" s="60" t="s">
        <v>45</v>
      </c>
      <c r="P11" s="59" t="s">
        <v>80</v>
      </c>
      <c r="Q11" s="61" t="s">
        <v>78</v>
      </c>
      <c r="R11" s="59" t="s">
        <v>79</v>
      </c>
    </row>
    <row r="12" spans="2:18" s="3" customFormat="1" ht="15.95" customHeight="1" x14ac:dyDescent="0.25">
      <c r="B12" s="5">
        <v>1</v>
      </c>
      <c r="C12" s="6">
        <v>1000</v>
      </c>
      <c r="D12" s="7">
        <v>1000</v>
      </c>
      <c r="E12" s="8">
        <v>1</v>
      </c>
      <c r="F12" s="9">
        <f t="shared" ref="F12:F21" si="0">IF(D12&lt;=0,0,IF(C12&lt;=0,0,IF(E12&lt;=0,0,(D12*C12)*E12/1000000)))</f>
        <v>1</v>
      </c>
      <c r="G12" s="10">
        <f t="shared" ref="G12:G21" si="1">IF(D12&lt;=0,0,IF(C12&lt;=0,0,IF(E12&lt;=0,0,(D12+C12)*2*E12/1000)))</f>
        <v>4</v>
      </c>
      <c r="H12" s="11">
        <f>(ROUNDUP((IF(E12&lt;=0,0,IF(ДАТ!I12=0,0,IF(ДАТ!J12=0,0,(E12*ДАТ!K12+G12*ДАТ!$N$25)))))*ДАТ!$O$25,0)*'Коэфф. фабрика'!$C$2*ДАТ!$O$26)*'Коэфф. салон'!C$3</f>
        <v>235</v>
      </c>
      <c r="I12" s="12">
        <f>ROUNDUP(H12*I3,0)</f>
        <v>24675</v>
      </c>
      <c r="K12" s="13">
        <v>1</v>
      </c>
      <c r="L12" s="95" t="s">
        <v>74</v>
      </c>
      <c r="M12" s="96"/>
      <c r="N12" s="97"/>
      <c r="O12" s="14" t="s">
        <v>46</v>
      </c>
      <c r="P12" s="15">
        <v>1</v>
      </c>
      <c r="Q12" s="16">
        <f>280*'Коэфф. фабрика'!C2</f>
        <v>280</v>
      </c>
      <c r="R12" s="17">
        <f>IF(P12&lt;=0,0,P12*Q12)</f>
        <v>280</v>
      </c>
    </row>
    <row r="13" spans="2:18" s="3" customFormat="1" ht="15.95" customHeight="1" x14ac:dyDescent="0.25">
      <c r="B13" s="18">
        <v>2</v>
      </c>
      <c r="C13" s="19">
        <v>350</v>
      </c>
      <c r="D13" s="20">
        <v>50</v>
      </c>
      <c r="E13" s="21">
        <v>1</v>
      </c>
      <c r="F13" s="22">
        <f t="shared" si="0"/>
        <v>1.7500000000000002E-2</v>
      </c>
      <c r="G13" s="23">
        <f t="shared" si="1"/>
        <v>0.8</v>
      </c>
      <c r="H13" s="24">
        <f>(ROUNDUP((IF(E13&lt;=0,0,IF(ДАТ!I13=0,0,IF(ДАТ!J13=0,0,(E13*ДАТ!K13+G13*ДАТ!$N$25)))))*ДАТ!$O$25,0)*'Коэфф. фабрика'!$C$2*ДАТ!$O$26)*'Коэфф. салон'!C$3</f>
        <v>17</v>
      </c>
      <c r="I13" s="25">
        <f>ROUNDUP(H13*I3,0)</f>
        <v>1785</v>
      </c>
      <c r="K13" s="13">
        <v>2</v>
      </c>
      <c r="L13" s="74" t="s">
        <v>82</v>
      </c>
      <c r="M13" s="75"/>
      <c r="N13" s="76"/>
      <c r="O13" s="26" t="s">
        <v>46</v>
      </c>
      <c r="P13" s="15">
        <v>1</v>
      </c>
      <c r="Q13" s="16"/>
      <c r="R13" s="27"/>
    </row>
    <row r="14" spans="2:18" s="3" customFormat="1" ht="15.95" customHeight="1" x14ac:dyDescent="0.25">
      <c r="B14" s="18">
        <v>3</v>
      </c>
      <c r="C14" s="19">
        <v>680</v>
      </c>
      <c r="D14" s="20">
        <v>610</v>
      </c>
      <c r="E14" s="21">
        <v>1</v>
      </c>
      <c r="F14" s="22">
        <f t="shared" si="0"/>
        <v>0.4148</v>
      </c>
      <c r="G14" s="23">
        <f t="shared" si="1"/>
        <v>2.58</v>
      </c>
      <c r="H14" s="24">
        <f>(ROUNDUP((IF(E14&lt;=0,0,IF(ДАТ!I14=0,0,IF(ДАТ!J14=0,0,(E14*ДАТ!K14+G14*ДАТ!$N$25)))))*ДАТ!$O$25,0)*'Коэфф. фабрика'!$C$2*ДАТ!$O$26)*'Коэфф. салон'!C$3</f>
        <v>78</v>
      </c>
      <c r="I14" s="25">
        <f>ROUNDUP(H14*I3,0)</f>
        <v>8190</v>
      </c>
      <c r="K14" s="13">
        <v>3</v>
      </c>
      <c r="L14" s="74" t="s">
        <v>83</v>
      </c>
      <c r="M14" s="75"/>
      <c r="N14" s="76"/>
      <c r="O14" s="26" t="s">
        <v>47</v>
      </c>
      <c r="P14" s="15">
        <v>1</v>
      </c>
      <c r="Q14" s="16">
        <f>2160*'Коэфф. фабрика'!C2</f>
        <v>2160</v>
      </c>
      <c r="R14" s="17">
        <f>IF(P14&lt;=0,0,P14*Q14)</f>
        <v>2160</v>
      </c>
    </row>
    <row r="15" spans="2:18" s="3" customFormat="1" ht="15.95" customHeight="1" x14ac:dyDescent="0.25">
      <c r="B15" s="18">
        <v>4</v>
      </c>
      <c r="C15" s="19"/>
      <c r="D15" s="20"/>
      <c r="E15" s="21"/>
      <c r="F15" s="22">
        <f t="shared" si="0"/>
        <v>0</v>
      </c>
      <c r="G15" s="23">
        <f t="shared" si="1"/>
        <v>0</v>
      </c>
      <c r="H15" s="24">
        <f>(ROUNDUP((IF(E15&lt;=0,0,IF(ДАТ!I15=0,0,IF(ДАТ!J15=0,0,(E15*ДАТ!K15+G15*ДАТ!$N$25)))))*ДАТ!$O$25,0)*'Коэфф. фабрика'!$C$2*ДАТ!$O$26)*'Коэфф. салон'!C$3</f>
        <v>0</v>
      </c>
      <c r="I15" s="25">
        <f>ROUNDUP(H15*I3,0)</f>
        <v>0</v>
      </c>
      <c r="K15" s="13">
        <v>4</v>
      </c>
      <c r="L15" s="65" t="s">
        <v>84</v>
      </c>
      <c r="M15" s="66"/>
      <c r="N15" s="98"/>
      <c r="O15" s="26" t="s">
        <v>47</v>
      </c>
      <c r="P15" s="15">
        <v>1</v>
      </c>
      <c r="Q15" s="16">
        <v>4030</v>
      </c>
      <c r="R15" s="17">
        <f t="shared" ref="R15:R17" si="2">IF(P15&lt;=0,0,P15*Q15)</f>
        <v>4030</v>
      </c>
    </row>
    <row r="16" spans="2:18" s="3" customFormat="1" ht="15.95" customHeight="1" x14ac:dyDescent="0.25">
      <c r="B16" s="18">
        <v>5</v>
      </c>
      <c r="C16" s="19"/>
      <c r="D16" s="20"/>
      <c r="E16" s="21"/>
      <c r="F16" s="22">
        <f t="shared" si="0"/>
        <v>0</v>
      </c>
      <c r="G16" s="23">
        <f t="shared" si="1"/>
        <v>0</v>
      </c>
      <c r="H16" s="24">
        <f>(ROUNDUP((IF(E16&lt;=0,0,IF(ДАТ!I16=0,0,IF(ДАТ!J16=0,0,(E16*ДАТ!K16+G16*ДАТ!$N$25)))))*ДАТ!$O$25,0)*'Коэфф. фабрика'!$C$2*ДАТ!$O$26)*'Коэфф. салон'!C$3</f>
        <v>0</v>
      </c>
      <c r="I16" s="25">
        <f>ROUNDUP(H16*I3,0)</f>
        <v>0</v>
      </c>
      <c r="K16" s="13">
        <v>5</v>
      </c>
      <c r="L16" s="65" t="s">
        <v>93</v>
      </c>
      <c r="M16" s="66"/>
      <c r="N16" s="98"/>
      <c r="O16" s="26" t="s">
        <v>47</v>
      </c>
      <c r="P16" s="15">
        <v>1</v>
      </c>
      <c r="Q16" s="16">
        <v>5000</v>
      </c>
      <c r="R16" s="17">
        <f t="shared" si="2"/>
        <v>5000</v>
      </c>
    </row>
    <row r="17" spans="2:18" s="3" customFormat="1" ht="15.95" customHeight="1" x14ac:dyDescent="0.25">
      <c r="B17" s="18">
        <v>6</v>
      </c>
      <c r="C17" s="19"/>
      <c r="D17" s="20"/>
      <c r="E17" s="29"/>
      <c r="F17" s="30">
        <f t="shared" si="0"/>
        <v>0</v>
      </c>
      <c r="G17" s="31">
        <f t="shared" si="1"/>
        <v>0</v>
      </c>
      <c r="H17" s="24">
        <f>(ROUNDUP((IF(E17&lt;=0,0,IF(ДАТ!I17=0,0,IF(ДАТ!J17=0,0,(E17*ДАТ!K17+G17*ДАТ!$N$25)))))*ДАТ!$O$25,0)*'Коэфф. фабрика'!$C$2*ДАТ!$O$26)*'Коэфф. салон'!C$3</f>
        <v>0</v>
      </c>
      <c r="I17" s="32">
        <f>ROUNDUP(H17*I3,0)</f>
        <v>0</v>
      </c>
      <c r="K17" s="13">
        <v>6</v>
      </c>
      <c r="L17" s="65" t="s">
        <v>96</v>
      </c>
      <c r="M17" s="66"/>
      <c r="N17" s="28"/>
      <c r="O17" s="26" t="s">
        <v>47</v>
      </c>
      <c r="P17" s="15">
        <v>1</v>
      </c>
      <c r="Q17" s="16">
        <v>45000</v>
      </c>
      <c r="R17" s="17">
        <f t="shared" si="2"/>
        <v>45000</v>
      </c>
    </row>
    <row r="18" spans="2:18" s="3" customFormat="1" ht="15.95" customHeight="1" x14ac:dyDescent="0.25">
      <c r="B18" s="18">
        <v>7</v>
      </c>
      <c r="C18" s="19"/>
      <c r="D18" s="20"/>
      <c r="E18" s="29"/>
      <c r="F18" s="30">
        <f t="shared" si="0"/>
        <v>0</v>
      </c>
      <c r="G18" s="31">
        <f t="shared" si="1"/>
        <v>0</v>
      </c>
      <c r="H18" s="24">
        <f>(ROUNDUP((IF(E18&lt;=0,0,IF(ДАТ!I18=0,0,IF(ДАТ!J18=0,0,(E18*ДАТ!K18+G18*ДАТ!$N$25)))))*ДАТ!$O$25,0)*'Коэфф. фабрика'!$C$2*ДАТ!$O$26)*'Коэфф. салон'!C$3</f>
        <v>0</v>
      </c>
      <c r="I18" s="32">
        <f>ROUNDUP(H18*I3,0)</f>
        <v>0</v>
      </c>
      <c r="K18" s="13">
        <v>7</v>
      </c>
      <c r="L18" s="74" t="s">
        <v>95</v>
      </c>
      <c r="M18" s="75"/>
      <c r="N18" s="76"/>
      <c r="O18" s="26" t="s">
        <v>47</v>
      </c>
      <c r="P18" s="15">
        <v>1</v>
      </c>
      <c r="Q18" s="16">
        <f>4200*'Коэфф. фабрика'!C2</f>
        <v>4200</v>
      </c>
      <c r="R18" s="17">
        <f t="shared" ref="R18:R25" si="3">IF(P18&lt;=0,0,P18*Q18)</f>
        <v>4200</v>
      </c>
    </row>
    <row r="19" spans="2:18" s="3" customFormat="1" ht="15.95" customHeight="1" x14ac:dyDescent="0.25">
      <c r="B19" s="18">
        <v>8</v>
      </c>
      <c r="C19" s="19"/>
      <c r="D19" s="20"/>
      <c r="E19" s="29"/>
      <c r="F19" s="30">
        <f t="shared" si="0"/>
        <v>0</v>
      </c>
      <c r="G19" s="31">
        <f t="shared" si="1"/>
        <v>0</v>
      </c>
      <c r="H19" s="24">
        <f>(ROUNDUP((IF(E19&lt;=0,0,IF(ДАТ!I19=0,0,IF(ДАТ!J19=0,0,(E19*ДАТ!K19+G19*ДАТ!$N$25)))))*ДАТ!$O$25,0)*'Коэфф. фабрика'!$C$2*ДАТ!$O$26)*'Коэфф. салон'!C$3</f>
        <v>0</v>
      </c>
      <c r="I19" s="32">
        <f>ROUNDUP(H19*I3,0)</f>
        <v>0</v>
      </c>
      <c r="K19" s="13">
        <v>8</v>
      </c>
      <c r="L19" s="74" t="s">
        <v>94</v>
      </c>
      <c r="M19" s="75"/>
      <c r="N19" s="76"/>
      <c r="O19" s="33" t="s">
        <v>47</v>
      </c>
      <c r="P19" s="19">
        <v>1</v>
      </c>
      <c r="Q19" s="34">
        <f>240*'Коэфф. фабрика'!C2</f>
        <v>240</v>
      </c>
      <c r="R19" s="25">
        <f t="shared" si="3"/>
        <v>240</v>
      </c>
    </row>
    <row r="20" spans="2:18" s="3" customFormat="1" ht="15.95" customHeight="1" x14ac:dyDescent="0.25">
      <c r="B20" s="35">
        <v>9</v>
      </c>
      <c r="C20" s="19"/>
      <c r="D20" s="20"/>
      <c r="E20" s="29"/>
      <c r="F20" s="30">
        <f t="shared" si="0"/>
        <v>0</v>
      </c>
      <c r="G20" s="31">
        <f t="shared" si="1"/>
        <v>0</v>
      </c>
      <c r="H20" s="24">
        <f>(ROUNDUP((IF(E20&lt;=0,0,IF(ДАТ!I20=0,0,IF(ДАТ!J20=0,0,(E20*ДАТ!K20+G20*ДАТ!$N$25)))))*ДАТ!$O$25,0)*'Коэфф. фабрика'!$C$2*ДАТ!$O$26)*'Коэфф. салон'!C$3</f>
        <v>0</v>
      </c>
      <c r="I20" s="32">
        <f>ROUNDUP(H20*I3,0)</f>
        <v>0</v>
      </c>
      <c r="K20" s="13">
        <v>9</v>
      </c>
      <c r="L20" s="74" t="s">
        <v>70</v>
      </c>
      <c r="M20" s="75"/>
      <c r="N20" s="76"/>
      <c r="O20" s="33" t="s">
        <v>46</v>
      </c>
      <c r="P20" s="19">
        <v>1</v>
      </c>
      <c r="Q20" s="34">
        <f>1600*'Коэфф. фабрика'!C2</f>
        <v>1600</v>
      </c>
      <c r="R20" s="25">
        <f t="shared" si="3"/>
        <v>1600</v>
      </c>
    </row>
    <row r="21" spans="2:18" s="3" customFormat="1" ht="15.95" customHeight="1" thickBot="1" x14ac:dyDescent="0.3">
      <c r="B21" s="36">
        <v>10</v>
      </c>
      <c r="C21" s="19"/>
      <c r="D21" s="20"/>
      <c r="E21" s="37"/>
      <c r="F21" s="38">
        <f t="shared" si="0"/>
        <v>0</v>
      </c>
      <c r="G21" s="39">
        <f t="shared" si="1"/>
        <v>0</v>
      </c>
      <c r="H21" s="40">
        <f>(ROUNDUP((IF(E21&lt;=0,0,IF(ДАТ!I21=0,0,IF(ДАТ!J21=0,0,(E21*ДАТ!K21+G21*ДАТ!$N$25)))))*ДАТ!$O$25,0)*'Коэфф. фабрика'!$C$2*ДАТ!$O$26)*'Коэфф. салон'!C$3</f>
        <v>0</v>
      </c>
      <c r="I21" s="41">
        <f>ROUNDUP(H21*I3,0)</f>
        <v>0</v>
      </c>
      <c r="K21" s="13">
        <v>10</v>
      </c>
      <c r="L21" s="74" t="s">
        <v>103</v>
      </c>
      <c r="M21" s="75"/>
      <c r="N21" s="76"/>
      <c r="O21" s="33" t="s">
        <v>46</v>
      </c>
      <c r="P21" s="19">
        <v>1</v>
      </c>
      <c r="Q21" s="34">
        <f>580*'Коэфф. фабрика'!C2</f>
        <v>580</v>
      </c>
      <c r="R21" s="25">
        <f t="shared" si="3"/>
        <v>580</v>
      </c>
    </row>
    <row r="22" spans="2:18" s="3" customFormat="1" ht="15.95" customHeight="1" thickBot="1" x14ac:dyDescent="0.3">
      <c r="B22" s="73" t="s">
        <v>40</v>
      </c>
      <c r="C22" s="69"/>
      <c r="D22" s="88"/>
      <c r="E22" s="58">
        <f>SUM(E12:E21)</f>
        <v>3</v>
      </c>
      <c r="F22" s="61">
        <f>SUM(F12:F21)</f>
        <v>1.4323000000000001</v>
      </c>
      <c r="G22" s="62">
        <f>SUM(G12:G21)</f>
        <v>7.38</v>
      </c>
      <c r="H22" s="63">
        <f>SUM(H12:H21)</f>
        <v>330</v>
      </c>
      <c r="I22" s="64">
        <f>SUM(I12:I21)</f>
        <v>34650</v>
      </c>
      <c r="K22" s="13">
        <v>11</v>
      </c>
      <c r="L22" s="74" t="s">
        <v>64</v>
      </c>
      <c r="M22" s="75"/>
      <c r="N22" s="76"/>
      <c r="O22" s="33" t="s">
        <v>47</v>
      </c>
      <c r="P22" s="19">
        <v>1</v>
      </c>
      <c r="Q22" s="34">
        <f>240*'Коэфф. фабрика'!C2</f>
        <v>240</v>
      </c>
      <c r="R22" s="25">
        <f t="shared" si="3"/>
        <v>240</v>
      </c>
    </row>
    <row r="23" spans="2:18" s="3" customFormat="1" ht="15.95" customHeight="1" x14ac:dyDescent="0.25">
      <c r="K23" s="13">
        <v>12</v>
      </c>
      <c r="L23" s="74" t="s">
        <v>69</v>
      </c>
      <c r="M23" s="75"/>
      <c r="N23" s="76"/>
      <c r="O23" s="33" t="s">
        <v>47</v>
      </c>
      <c r="P23" s="19">
        <v>1</v>
      </c>
      <c r="Q23" s="34">
        <f>4200*'Коэфф. фабрика'!C2</f>
        <v>4200</v>
      </c>
      <c r="R23" s="25">
        <f t="shared" si="3"/>
        <v>4200</v>
      </c>
    </row>
    <row r="24" spans="2:18" s="3" customFormat="1" ht="15.95" customHeight="1" x14ac:dyDescent="0.25">
      <c r="C24" s="42"/>
      <c r="D24" s="43" t="s">
        <v>43</v>
      </c>
      <c r="H24" s="44"/>
      <c r="I24" s="45"/>
      <c r="K24" s="13">
        <v>13</v>
      </c>
      <c r="L24" s="74" t="s">
        <v>75</v>
      </c>
      <c r="M24" s="75"/>
      <c r="N24" s="76"/>
      <c r="O24" s="33" t="s">
        <v>47</v>
      </c>
      <c r="P24" s="19">
        <v>1</v>
      </c>
      <c r="Q24" s="34">
        <f>1200*'Коэфф. фабрика'!C2</f>
        <v>1200</v>
      </c>
      <c r="R24" s="25">
        <f t="shared" si="3"/>
        <v>1200</v>
      </c>
    </row>
    <row r="25" spans="2:18" s="3" customFormat="1" ht="15.95" customHeight="1" x14ac:dyDescent="0.25">
      <c r="B25" s="46"/>
      <c r="K25" s="13">
        <v>14</v>
      </c>
      <c r="L25" s="74" t="s">
        <v>76</v>
      </c>
      <c r="M25" s="75"/>
      <c r="N25" s="76"/>
      <c r="O25" s="33" t="s">
        <v>47</v>
      </c>
      <c r="P25" s="19">
        <v>1</v>
      </c>
      <c r="Q25" s="34">
        <f>2200*'Коэфф. фабрика'!C2</f>
        <v>2200</v>
      </c>
      <c r="R25" s="25">
        <f t="shared" si="3"/>
        <v>2200</v>
      </c>
    </row>
    <row r="26" spans="2:18" s="3" customFormat="1" ht="15.95" customHeight="1" thickBot="1" x14ac:dyDescent="0.3">
      <c r="B26" s="2"/>
      <c r="C26" s="46"/>
      <c r="K26" s="13">
        <v>15</v>
      </c>
      <c r="L26" s="77" t="s">
        <v>77</v>
      </c>
      <c r="M26" s="78"/>
      <c r="N26" s="79"/>
      <c r="O26" s="47" t="s">
        <v>47</v>
      </c>
      <c r="P26" s="48">
        <v>1</v>
      </c>
      <c r="Q26" s="49">
        <f>4200*'Коэфф. фабрика'!C2</f>
        <v>4200</v>
      </c>
      <c r="R26" s="41">
        <f>IF(P26&lt;=0,0,P26*Q26)</f>
        <v>4200</v>
      </c>
    </row>
    <row r="27" spans="2:18" s="3" customFormat="1" ht="20.100000000000001" customHeight="1" thickBot="1" x14ac:dyDescent="0.3">
      <c r="K27" s="73" t="s">
        <v>41</v>
      </c>
      <c r="L27" s="69"/>
      <c r="M27" s="70"/>
      <c r="N27" s="68"/>
      <c r="O27" s="69"/>
      <c r="P27" s="69"/>
      <c r="Q27" s="70"/>
      <c r="R27" s="64">
        <f>SUM(R12:R26)-P13*936</f>
        <v>74194</v>
      </c>
    </row>
    <row r="28" spans="2:18" s="3" customFormat="1" ht="19.5" customHeight="1" thickBot="1" x14ac:dyDescent="0.3">
      <c r="B28" s="2" t="s">
        <v>42</v>
      </c>
      <c r="K28" s="80" t="s">
        <v>72</v>
      </c>
      <c r="L28" s="81"/>
      <c r="M28" s="82"/>
      <c r="N28" s="83"/>
      <c r="O28" s="84"/>
      <c r="P28" s="84"/>
      <c r="Q28" s="85"/>
      <c r="R28" s="50">
        <v>0</v>
      </c>
    </row>
    <row r="29" spans="2:18" s="3" customFormat="1" ht="49.5" customHeight="1" thickBot="1" x14ac:dyDescent="0.3">
      <c r="B29" s="67" t="s">
        <v>104</v>
      </c>
      <c r="C29" s="67"/>
      <c r="D29" s="67"/>
      <c r="E29" s="67"/>
      <c r="F29" s="67"/>
      <c r="G29" s="67"/>
      <c r="H29" s="67"/>
      <c r="K29" s="71" t="s">
        <v>71</v>
      </c>
      <c r="L29" s="72"/>
      <c r="M29" s="72"/>
      <c r="N29" s="86">
        <f>(I22+R27)*(1-R28)</f>
        <v>108844</v>
      </c>
      <c r="O29" s="86"/>
      <c r="P29" s="86"/>
      <c r="Q29" s="86"/>
      <c r="R29" s="87"/>
    </row>
    <row r="30" spans="2:18" s="3" customFormat="1" ht="15" customHeight="1" x14ac:dyDescent="0.25">
      <c r="B30" s="51" t="s">
        <v>44</v>
      </c>
    </row>
    <row r="31" spans="2:18" s="3" customFormat="1" ht="15" customHeight="1" x14ac:dyDescent="0.25">
      <c r="B31" s="51" t="s">
        <v>86</v>
      </c>
    </row>
    <row r="32" spans="2:18" s="3" customFormat="1" ht="15" customHeight="1" x14ac:dyDescent="0.25">
      <c r="B32" s="51" t="s">
        <v>67</v>
      </c>
    </row>
    <row r="33" spans="2:3" s="3" customFormat="1" ht="15" customHeight="1" x14ac:dyDescent="0.25">
      <c r="B33" s="51" t="s">
        <v>87</v>
      </c>
    </row>
    <row r="34" spans="2:3" s="3" customFormat="1" ht="15" customHeight="1" x14ac:dyDescent="0.25">
      <c r="B34" s="51" t="s">
        <v>85</v>
      </c>
    </row>
    <row r="35" spans="2:3" s="3" customFormat="1" ht="15" customHeight="1" x14ac:dyDescent="0.25">
      <c r="B35" s="51" t="s">
        <v>68</v>
      </c>
    </row>
    <row r="36" spans="2:3" s="3" customFormat="1" ht="15" customHeight="1" x14ac:dyDescent="0.25">
      <c r="B36" s="52" t="s">
        <v>88</v>
      </c>
    </row>
    <row r="37" spans="2:3" s="3" customFormat="1" ht="15" customHeight="1" x14ac:dyDescent="0.25">
      <c r="B37" s="52" t="s">
        <v>105</v>
      </c>
    </row>
    <row r="38" spans="2:3" s="3" customFormat="1" ht="15" customHeight="1" x14ac:dyDescent="0.25">
      <c r="B38" s="52" t="s">
        <v>106</v>
      </c>
    </row>
    <row r="39" spans="2:3" s="3" customFormat="1" ht="15" customHeight="1" x14ac:dyDescent="0.25">
      <c r="B39" s="52" t="s">
        <v>107</v>
      </c>
    </row>
    <row r="40" spans="2:3" s="3" customFormat="1" ht="15" customHeight="1" x14ac:dyDescent="0.25">
      <c r="B40" s="51" t="s">
        <v>89</v>
      </c>
    </row>
    <row r="41" spans="2:3" s="3" customFormat="1" x14ac:dyDescent="0.25">
      <c r="B41" s="2" t="s">
        <v>48</v>
      </c>
    </row>
    <row r="42" spans="2:3" s="3" customFormat="1" ht="18" customHeight="1" x14ac:dyDescent="0.25">
      <c r="B42" s="2"/>
      <c r="C42" s="46"/>
    </row>
    <row r="43" spans="2:3" s="3" customFormat="1" ht="18" customHeight="1" x14ac:dyDescent="0.25">
      <c r="B43" s="51"/>
    </row>
    <row r="44" spans="2:3" s="3" customFormat="1" ht="18" customHeight="1" x14ac:dyDescent="0.25">
      <c r="B44" s="51"/>
    </row>
    <row r="45" spans="2:3" s="3" customFormat="1" ht="18" customHeight="1" x14ac:dyDescent="0.25">
      <c r="B45" s="51"/>
    </row>
    <row r="46" spans="2:3" s="3" customFormat="1" ht="18" customHeight="1" x14ac:dyDescent="0.25">
      <c r="B46" s="51"/>
    </row>
    <row r="47" spans="2:3" s="3" customFormat="1" ht="18" customHeight="1" x14ac:dyDescent="0.25">
      <c r="B47" s="51"/>
    </row>
    <row r="48" spans="2:3" s="3" customFormat="1" ht="18" customHeight="1" x14ac:dyDescent="0.25">
      <c r="B48" s="51"/>
    </row>
    <row r="49" spans="2:2" s="3" customFormat="1" ht="18" customHeight="1" x14ac:dyDescent="0.25">
      <c r="B49" s="46"/>
    </row>
    <row r="50" spans="2:2" s="3" customFormat="1" ht="18" customHeight="1" x14ac:dyDescent="0.25">
      <c r="B50" s="2"/>
    </row>
    <row r="51" spans="2:2" s="3" customFormat="1" ht="18" customHeight="1" x14ac:dyDescent="0.25"/>
    <row r="52" spans="2:2" s="3" customFormat="1" ht="18" customHeight="1" x14ac:dyDescent="0.25"/>
    <row r="53" spans="2:2" s="3" customFormat="1" ht="18" customHeight="1" x14ac:dyDescent="0.25"/>
    <row r="54" spans="2:2" s="3" customFormat="1" ht="18" customHeight="1" x14ac:dyDescent="0.25"/>
    <row r="55" spans="2:2" ht="18" customHeight="1" x14ac:dyDescent="0.25"/>
    <row r="56" spans="2:2" ht="18" customHeight="1" x14ac:dyDescent="0.25"/>
    <row r="57" spans="2:2" ht="18" customHeight="1" x14ac:dyDescent="0.25"/>
    <row r="58" spans="2:2" ht="18" customHeight="1" x14ac:dyDescent="0.25"/>
    <row r="59" spans="2:2" ht="18" customHeight="1" x14ac:dyDescent="0.25"/>
    <row r="60" spans="2:2" ht="18" customHeight="1" x14ac:dyDescent="0.25"/>
    <row r="61" spans="2:2" ht="18" customHeight="1" x14ac:dyDescent="0.25"/>
    <row r="62" spans="2:2" ht="18" customHeight="1" x14ac:dyDescent="0.25"/>
    <row r="63" spans="2:2" ht="18" customHeight="1" x14ac:dyDescent="0.25"/>
    <row r="64" spans="2:2" ht="18" customHeight="1" x14ac:dyDescent="0.25"/>
    <row r="65" ht="18" customHeight="1" x14ac:dyDescent="0.25"/>
    <row r="66" ht="18" customHeight="1" x14ac:dyDescent="0.25"/>
    <row r="67" ht="18" customHeight="1" x14ac:dyDescent="0.25"/>
    <row r="68" ht="18" customHeight="1" x14ac:dyDescent="0.25"/>
    <row r="69" ht="18" customHeight="1" x14ac:dyDescent="0.25"/>
    <row r="70" ht="18" customHeight="1" x14ac:dyDescent="0.25"/>
  </sheetData>
  <sheetProtection algorithmName="SHA-512" hashValue="3KwhKtI26Yz3RAbocnnOdtfKTqgV+Xah2dgdWKwE1sdFc/QYuTUuSoVN1rwgFBcRUzZLGYwz7Gy+Je3wyn9LWg==" saltValue="Cxl+WcwlM2JxtsVyRHsoXw==" spinCount="100000" sheet="1" objects="1" scenarios="1"/>
  <protectedRanges>
    <protectedRange sqref="C15:E21" name="Диапазон2_1"/>
    <protectedRange sqref="C1:G4" name="Диапазон6"/>
    <protectedRange sqref="I3" name="Диапазон4"/>
    <protectedRange sqref="C8" name="Диапазон1"/>
    <protectedRange sqref="R28" name="Диапазон5"/>
    <protectedRange sqref="P12:P14 P18:P26" name="Диапазон3_1_1"/>
    <protectedRange sqref="P15" name="Диапазон3_1_1_1_1"/>
    <protectedRange sqref="P16:P17" name="Диапазон3_1_1_1_1_1"/>
    <protectedRange sqref="C12:E14" name="Диапазон2_1_1"/>
  </protectedRanges>
  <mergeCells count="28">
    <mergeCell ref="L11:N11"/>
    <mergeCell ref="B5:I5"/>
    <mergeCell ref="B22:D22"/>
    <mergeCell ref="C7:I7"/>
    <mergeCell ref="C8:I8"/>
    <mergeCell ref="C9:I9"/>
    <mergeCell ref="L12:N12"/>
    <mergeCell ref="L19:N19"/>
    <mergeCell ref="L22:N22"/>
    <mergeCell ref="L20:N20"/>
    <mergeCell ref="L18:N18"/>
    <mergeCell ref="L21:N21"/>
    <mergeCell ref="L13:N13"/>
    <mergeCell ref="L14:N14"/>
    <mergeCell ref="L15:N15"/>
    <mergeCell ref="L16:N16"/>
    <mergeCell ref="L17:M17"/>
    <mergeCell ref="B29:H29"/>
    <mergeCell ref="N27:Q27"/>
    <mergeCell ref="K29:M29"/>
    <mergeCell ref="K27:M27"/>
    <mergeCell ref="L24:N24"/>
    <mergeCell ref="L25:N25"/>
    <mergeCell ref="L26:N26"/>
    <mergeCell ref="K28:M28"/>
    <mergeCell ref="N28:Q28"/>
    <mergeCell ref="N29:R29"/>
    <mergeCell ref="L23:N23"/>
  </mergeCells>
  <pageMargins left="0.7" right="0.7" top="0.75" bottom="0.75" header="0.3" footer="0.3"/>
  <pageSetup paperSize="9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xWindow="942" yWindow="496" count="1">
        <x14:dataValidation type="list" errorStyle="warning" allowBlank="1" showInputMessage="1" showErrorMessage="1" errorTitle="ВНИМАНИЕ !!!" error="Вы не выбрали коллекцию" prompt="Выберите коллекцию">
          <x14:formula1>
            <xm:f>ДАТ!$B$25:$F$25</xm:f>
          </x14:formula1>
          <xm:sqref>C8:I8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0"/>
  <sheetViews>
    <sheetView topLeftCell="A10" zoomScale="80" zoomScaleNormal="80" workbookViewId="0">
      <selection activeCell="AD12" sqref="AD12"/>
    </sheetView>
  </sheetViews>
  <sheetFormatPr defaultRowHeight="15" x14ac:dyDescent="0.25"/>
  <cols>
    <col min="1" max="1" width="3.28515625" style="118" customWidth="1"/>
    <col min="2" max="2" width="12.85546875" style="99" customWidth="1"/>
    <col min="3" max="3" width="11.85546875" style="99" customWidth="1"/>
    <col min="4" max="4" width="11.28515625" style="99" customWidth="1"/>
    <col min="5" max="5" width="11.7109375" style="99" customWidth="1"/>
    <col min="6" max="6" width="12" style="99" customWidth="1"/>
    <col min="7" max="7" width="12.7109375" style="99" customWidth="1"/>
    <col min="8" max="8" width="11.42578125" style="99" customWidth="1"/>
    <col min="9" max="9" width="10.7109375" style="99" customWidth="1"/>
    <col min="10" max="10" width="11" style="99" customWidth="1"/>
    <col min="11" max="11" width="10.28515625" style="99" customWidth="1"/>
    <col min="12" max="12" width="11.42578125" style="99" customWidth="1"/>
    <col min="13" max="13" width="10.85546875" style="99" customWidth="1"/>
    <col min="14" max="14" width="14" style="99" customWidth="1"/>
    <col min="15" max="15" width="11.5703125" style="99" customWidth="1"/>
    <col min="16" max="16" width="13" style="99" customWidth="1"/>
    <col min="17" max="17" width="12.85546875" style="99" customWidth="1"/>
    <col min="18" max="18" width="11.28515625" style="99" customWidth="1"/>
    <col min="19" max="19" width="11.42578125" style="99" customWidth="1"/>
    <col min="20" max="20" width="12.140625" style="99" customWidth="1"/>
    <col min="21" max="21" width="11" style="99" customWidth="1"/>
    <col min="22" max="29" width="9.140625" style="99"/>
    <col min="30" max="16384" width="9.140625" style="118"/>
  </cols>
  <sheetData>
    <row r="1" spans="2:21" s="99" customFormat="1" x14ac:dyDescent="0.25">
      <c r="B1" s="100" t="s">
        <v>90</v>
      </c>
      <c r="C1" s="100"/>
      <c r="D1" s="100"/>
      <c r="E1" s="100"/>
      <c r="F1" s="100"/>
      <c r="G1" s="100"/>
      <c r="H1" s="100"/>
      <c r="I1" s="100"/>
      <c r="K1" s="100" t="s">
        <v>90</v>
      </c>
      <c r="L1" s="100"/>
      <c r="M1" s="100"/>
      <c r="N1" s="100"/>
      <c r="O1" s="100"/>
      <c r="Q1" s="101"/>
      <c r="R1" s="101"/>
      <c r="S1" s="101"/>
      <c r="T1" s="101"/>
      <c r="U1" s="101"/>
    </row>
    <row r="2" spans="2:21" s="99" customFormat="1" x14ac:dyDescent="0.25">
      <c r="C2" s="101"/>
      <c r="D2" s="101">
        <v>680</v>
      </c>
      <c r="E2" s="101">
        <v>1360</v>
      </c>
      <c r="F2" s="101">
        <v>2040</v>
      </c>
      <c r="G2" s="101">
        <v>2720</v>
      </c>
      <c r="H2" s="101">
        <v>3400</v>
      </c>
      <c r="I2" s="101">
        <v>4080</v>
      </c>
      <c r="K2" s="100"/>
      <c r="L2" s="100" t="s">
        <v>4</v>
      </c>
      <c r="M2" s="100"/>
      <c r="N2" s="100" t="s">
        <v>3</v>
      </c>
      <c r="O2" s="100"/>
      <c r="Q2" s="101"/>
      <c r="R2" s="101"/>
      <c r="S2" s="101"/>
      <c r="T2" s="101"/>
      <c r="U2" s="101"/>
    </row>
    <row r="3" spans="2:21" s="99" customFormat="1" x14ac:dyDescent="0.25">
      <c r="B3" s="100" t="s">
        <v>27</v>
      </c>
      <c r="C3" s="101">
        <v>610</v>
      </c>
      <c r="D3" s="99">
        <f>(C3*D2)/1000000</f>
        <v>0.4148</v>
      </c>
      <c r="E3" s="99">
        <f>(C3*E2)/1000000</f>
        <v>0.8296</v>
      </c>
      <c r="F3" s="99">
        <f>(C3*F2)/1000000</f>
        <v>1.2444</v>
      </c>
      <c r="G3" s="99">
        <f>(C3*G2)/1000000</f>
        <v>1.6592</v>
      </c>
      <c r="H3" s="99">
        <f>(C3*H2)/1000000</f>
        <v>2.0739999999999998</v>
      </c>
      <c r="I3" s="99">
        <f>(C3*I2)/1000000</f>
        <v>2.4887999999999999</v>
      </c>
      <c r="K3" s="102"/>
      <c r="L3" s="101" t="s">
        <v>30</v>
      </c>
      <c r="M3" s="101" t="s">
        <v>31</v>
      </c>
      <c r="N3" s="101" t="s">
        <v>30</v>
      </c>
      <c r="O3" s="101" t="s">
        <v>31</v>
      </c>
      <c r="R3" s="101"/>
      <c r="S3" s="101"/>
      <c r="T3" s="101"/>
      <c r="U3" s="101"/>
    </row>
    <row r="4" spans="2:21" s="99" customFormat="1" x14ac:dyDescent="0.25">
      <c r="B4" s="100"/>
      <c r="C4" s="101">
        <v>1220</v>
      </c>
      <c r="D4" s="99">
        <f>(C4*D2)/1000000</f>
        <v>0.8296</v>
      </c>
      <c r="E4" s="99">
        <f>(C4*E2)/1000000</f>
        <v>1.6592</v>
      </c>
      <c r="F4" s="99">
        <f>(C4*F2)/1000000</f>
        <v>2.4887999999999999</v>
      </c>
      <c r="G4" s="99">
        <f>(C4*G2)/1000000</f>
        <v>3.3184</v>
      </c>
      <c r="H4" s="99">
        <f>(C4*H2)/1000000</f>
        <v>4.1479999999999997</v>
      </c>
      <c r="I4" s="99">
        <f>(C4*I2)/1000000</f>
        <v>4.9775999999999998</v>
      </c>
      <c r="K4" s="101" t="s">
        <v>28</v>
      </c>
      <c r="L4" s="101">
        <v>450</v>
      </c>
      <c r="M4" s="99">
        <v>1854</v>
      </c>
      <c r="N4" s="101">
        <v>150</v>
      </c>
      <c r="O4" s="99">
        <v>4100</v>
      </c>
      <c r="Q4" s="101"/>
    </row>
    <row r="5" spans="2:21" s="99" customFormat="1" x14ac:dyDescent="0.25">
      <c r="B5" s="100"/>
      <c r="C5" s="101">
        <v>1830</v>
      </c>
      <c r="D5" s="99">
        <f>(C5*D2)/1000000</f>
        <v>1.2444</v>
      </c>
      <c r="E5" s="99">
        <f>(C5*E2)/1000000</f>
        <v>2.4887999999999999</v>
      </c>
      <c r="F5" s="99">
        <f>(C5*F2)/1000000</f>
        <v>3.7332000000000001</v>
      </c>
      <c r="G5" s="99">
        <f>(C5*G2)/1000000</f>
        <v>4.9775999999999998</v>
      </c>
      <c r="H5" s="99">
        <f>(C5*H2)/1000000</f>
        <v>6.2220000000000004</v>
      </c>
      <c r="I5" s="99">
        <f>(C5*I2)/1000000</f>
        <v>7.4664000000000001</v>
      </c>
      <c r="K5" s="101" t="s">
        <v>29</v>
      </c>
      <c r="L5" s="101">
        <v>150</v>
      </c>
      <c r="M5" s="101">
        <v>1000</v>
      </c>
      <c r="N5" s="101">
        <v>300</v>
      </c>
      <c r="O5" s="101">
        <v>1400</v>
      </c>
      <c r="Q5" s="101"/>
    </row>
    <row r="6" spans="2:21" s="99" customFormat="1" x14ac:dyDescent="0.25">
      <c r="B6" s="100" t="s">
        <v>102</v>
      </c>
      <c r="C6" s="101">
        <v>640</v>
      </c>
      <c r="D6" s="99">
        <f>(C6*D2)/1000000</f>
        <v>0.43519999999999998</v>
      </c>
      <c r="E6" s="99">
        <f>(C6*E2)/1000000</f>
        <v>0.87039999999999995</v>
      </c>
      <c r="F6" s="99">
        <f>(C6*F2)/1000000</f>
        <v>1.3056000000000001</v>
      </c>
      <c r="G6" s="99">
        <f>(C6*G2)/1000000</f>
        <v>1.7407999999999999</v>
      </c>
      <c r="H6" s="99">
        <f>(C6*H2)/1000000</f>
        <v>2.1760000000000002</v>
      </c>
      <c r="I6" s="99">
        <f>(C6*I2)/1000000</f>
        <v>2.6112000000000002</v>
      </c>
      <c r="K6" s="101" t="s">
        <v>22</v>
      </c>
      <c r="L6" s="101">
        <v>600</v>
      </c>
      <c r="M6" s="101">
        <v>1400</v>
      </c>
      <c r="N6" s="101">
        <v>600</v>
      </c>
      <c r="O6" s="101">
        <v>1400</v>
      </c>
      <c r="Q6" s="101"/>
    </row>
    <row r="7" spans="2:21" s="99" customFormat="1" x14ac:dyDescent="0.25">
      <c r="B7" s="100"/>
      <c r="C7" s="101">
        <v>1280</v>
      </c>
      <c r="D7" s="99">
        <f>(C7*D2)/1000000</f>
        <v>0.87039999999999995</v>
      </c>
      <c r="E7" s="99">
        <f>(C7*E2)/1000000</f>
        <v>1.7407999999999999</v>
      </c>
      <c r="F7" s="99">
        <f>(C7*F2)/1000000</f>
        <v>2.6112000000000002</v>
      </c>
      <c r="G7" s="99">
        <f>(C7*G2)/1000000</f>
        <v>3.4815999999999998</v>
      </c>
      <c r="H7" s="99">
        <f>(C7*H2)/1000000</f>
        <v>4.3520000000000003</v>
      </c>
      <c r="I7" s="99">
        <f>(C7*I2)/1000000</f>
        <v>5.2224000000000004</v>
      </c>
      <c r="K7" s="101" t="s">
        <v>54</v>
      </c>
      <c r="L7" s="101">
        <v>50</v>
      </c>
      <c r="M7" s="101">
        <v>150</v>
      </c>
      <c r="N7" s="101">
        <v>1360</v>
      </c>
      <c r="O7" s="101">
        <v>4100</v>
      </c>
      <c r="Q7" s="101"/>
    </row>
    <row r="8" spans="2:21" s="99" customFormat="1" x14ac:dyDescent="0.25"/>
    <row r="9" spans="2:21" s="99" customFormat="1" x14ac:dyDescent="0.25">
      <c r="G9" s="103"/>
    </row>
    <row r="10" spans="2:21" s="99" customFormat="1" x14ac:dyDescent="0.25">
      <c r="B10" s="100" t="s">
        <v>10</v>
      </c>
      <c r="C10" s="100"/>
      <c r="D10" s="100"/>
      <c r="E10" s="100"/>
      <c r="F10" s="100"/>
      <c r="G10" s="100"/>
      <c r="I10" s="100" t="s">
        <v>52</v>
      </c>
      <c r="J10" s="100"/>
      <c r="K10" s="102"/>
      <c r="L10" s="102"/>
      <c r="M10" s="102"/>
      <c r="N10" s="102"/>
      <c r="P10" s="100" t="s">
        <v>11</v>
      </c>
      <c r="Q10" s="100"/>
      <c r="R10" s="100"/>
      <c r="S10" s="100"/>
      <c r="T10" s="100"/>
      <c r="U10" s="100"/>
    </row>
    <row r="11" spans="2:21" s="99" customFormat="1" ht="30" x14ac:dyDescent="0.25">
      <c r="B11" s="104" t="s">
        <v>2</v>
      </c>
      <c r="C11" s="104" t="s">
        <v>4</v>
      </c>
      <c r="D11" s="104" t="s">
        <v>3</v>
      </c>
      <c r="E11" s="104" t="s">
        <v>7</v>
      </c>
      <c r="F11" s="104" t="s">
        <v>6</v>
      </c>
      <c r="G11" s="104" t="s">
        <v>8</v>
      </c>
      <c r="I11" s="104" t="s">
        <v>12</v>
      </c>
      <c r="J11" s="104" t="s">
        <v>13</v>
      </c>
      <c r="K11" s="104" t="s">
        <v>20</v>
      </c>
      <c r="L11" s="104" t="s">
        <v>21</v>
      </c>
      <c r="M11" s="104" t="s">
        <v>53</v>
      </c>
      <c r="N11" s="101" t="s">
        <v>57</v>
      </c>
      <c r="P11" s="101" t="s">
        <v>2</v>
      </c>
      <c r="Q11" s="104" t="s">
        <v>4</v>
      </c>
      <c r="R11" s="104" t="s">
        <v>3</v>
      </c>
      <c r="S11" s="104" t="s">
        <v>7</v>
      </c>
      <c r="T11" s="104" t="s">
        <v>6</v>
      </c>
      <c r="U11" s="104" t="s">
        <v>8</v>
      </c>
    </row>
    <row r="12" spans="2:21" s="99" customFormat="1" x14ac:dyDescent="0.25">
      <c r="B12" s="101">
        <v>1</v>
      </c>
      <c r="C12" s="99">
        <f>IF(FMX!D12&lt;$L$7,0,IF(FMX!D12&lt;=$M$7,FMX!D12+50,IF(FMX!D12&lt;=$C$6,650,IF(FMX!D12&lt;=$C$7,1300,0))))</f>
        <v>1300</v>
      </c>
      <c r="D12" s="99">
        <f>IF(FMX!C12&lt;N4,0,IF(FMX!C12&lt;=D2,684,IF(FMX!C12&lt;=E2,1368,IF(FMX!C12&lt;=F2,2052,IF(FMX!C12&lt;=G2,2736,IF(FMX!C12&lt;=H2,3420,IF(FMX!C12&lt;=I2,4100,0)))))))</f>
        <v>1368</v>
      </c>
      <c r="E12" s="99">
        <f>(C12*D12)/1000000</f>
        <v>1.7784</v>
      </c>
      <c r="F12" s="99">
        <f>(C12+D12)*2/1000</f>
        <v>5.3360000000000003</v>
      </c>
      <c r="G12" s="103">
        <f>IF(FMX!C8=B25,B28,IF(FMX!C8=C25,C28,IF(FMX!C8=D25,D28,IF(FMX!C8=E25,E28,IF(FMX!C8=F25,F28,IF(FMX!C8=G25,G28,0))))))</f>
        <v>104.64</v>
      </c>
      <c r="I12" s="99">
        <f>IF(FMX!C8=B25,S12,IF(FMX!C8=C25,E12,IF(FMX!C8=D25,E12,IF(FMX!C8=E25,S12,IF(FMX!C8=F25,S12,IF(FMX!C8=G25,S12,0))))))</f>
        <v>1.7784</v>
      </c>
      <c r="J12" s="103">
        <f>IF(FMX!C8=B25,U12,IF(FMX!C8=C25,G12,IF(FMX!C8=D25,G12,IF(FMX!C8=E25,G12,IF(FMX!C8=F25,U12,IF(FMX!C8=G25,U12,0))))))</f>
        <v>104.64</v>
      </c>
      <c r="K12" s="103">
        <f>I12*J12</f>
        <v>186.09177600000001</v>
      </c>
      <c r="L12" s="103">
        <f>P35</f>
        <v>176</v>
      </c>
      <c r="M12" s="103">
        <f>P44</f>
        <v>188</v>
      </c>
      <c r="N12" s="103">
        <f>L53</f>
        <v>0</v>
      </c>
      <c r="P12" s="101">
        <v>1</v>
      </c>
      <c r="Q12" s="99">
        <f>IF(FMX!D12&lt;L7,0,IF(FMX!D12&lt;=M7,FMX!D12+50,IF(FMX!D12&lt;=C6,650,IF(FMX!D12&lt;=C7,1300,0))))</f>
        <v>1300</v>
      </c>
      <c r="R12" s="99">
        <f>IF(FMX!C12&lt;N4,0,IF(FMX!C12&lt;=D2,684,IF(FMX!C12&lt;=E2,1368,IF(FMX!C12&lt;=F2,2052,IF(FMX!C12&lt;=G2,2736,IF(FMX!C12&lt;=H2,3420,IF(FMX!C12&lt;=I2,4100,0)))))))</f>
        <v>1368</v>
      </c>
      <c r="S12" s="99">
        <f>(Q12*R12)/1000000</f>
        <v>1.7784</v>
      </c>
      <c r="T12" s="99">
        <f>(Q12+R12)*2/1000</f>
        <v>5.3360000000000003</v>
      </c>
      <c r="U12" s="103">
        <f>IF(FMX!C8=B25,B28,IF(FMX!C8=C25,C28,IF(FMX!C8=D25,D28,IF(FMX!C8=E25,E28,IF(FMX!C8=F25,F28,IF(FMX!C8=G25,G28,0))))))</f>
        <v>104.64</v>
      </c>
    </row>
    <row r="13" spans="2:21" s="99" customFormat="1" x14ac:dyDescent="0.25">
      <c r="B13" s="101">
        <v>2</v>
      </c>
      <c r="C13" s="99">
        <f>IF(FMX!D13&lt;$L$7,0,IF(FMX!D13&lt;=$M$7,FMX!D13+50,IF(FMX!D13&lt;=$C$6,650,IF(FMX!D13&lt;=$C$7,1300,0))))</f>
        <v>100</v>
      </c>
      <c r="D13" s="99">
        <f>IF(FMX!C13&lt;N4,0,IF(FMX!C13&lt;=D2,684,IF(FMX!C13&lt;=E2,1368,IF(FMX!C13&lt;=F2,2052,IF(FMX!C13&lt;=G2,2736,IF(FMX!C13&lt;=H2,3420,IF(FMX!C13&lt;=I2,4100,0)))))))</f>
        <v>684</v>
      </c>
      <c r="E13" s="99">
        <f>(C13*D13)/1000000</f>
        <v>6.8400000000000002E-2</v>
      </c>
      <c r="F13" s="99">
        <f t="shared" ref="F13" si="0">(C13+D13)*2/1000</f>
        <v>1.5680000000000001</v>
      </c>
      <c r="G13" s="103">
        <f>IF(FMX!C8=B25,B28,IF(FMX!C8=C25,C28,IF(FMX!C8=D25,D28,IF(FMX!C8=E25,E28,IF(FMX!C8=F25,F28,IF(FMX!C8=G25,G28,0))))))</f>
        <v>104.64</v>
      </c>
      <c r="I13" s="99">
        <f>IF(FMX!C8=B25,S13,IF(FMX!C8=C25,E13,IF(FMX!C8=D25,E13,IF(FMX!C8=E25,S13,IF(FMX!C8=F25,S13,IF(FMX!C8=G25,S13,0))))))</f>
        <v>6.8400000000000002E-2</v>
      </c>
      <c r="J13" s="103">
        <f>IF(FMX!C8=B25,U13,IF(FMX!C8=C25,G13,IF(FMX!C8=D25,G13,IF(FMX!C8=E25,G13,IF(FMX!C8=F25,U13,IF(FMX!C8=G25,U13,0))))))</f>
        <v>104.64</v>
      </c>
      <c r="K13" s="103">
        <f t="shared" ref="K13:K21" si="1">I13*J13</f>
        <v>7.1573760000000002</v>
      </c>
      <c r="L13" s="103">
        <f t="shared" ref="L13:L16" si="2">P36</f>
        <v>0</v>
      </c>
      <c r="M13" s="103">
        <f>P45</f>
        <v>0</v>
      </c>
      <c r="N13" s="103">
        <f t="shared" ref="N13:N16" si="3">L54</f>
        <v>41</v>
      </c>
      <c r="P13" s="101">
        <v>2</v>
      </c>
      <c r="Q13" s="99">
        <f>IF(FMX!D13&lt;L7,0,IF(FMX!D13&lt;=M7,FMX!D13+50,IF(FMX!D13&lt;=C6,650,IF(FMX!D13&lt;=C7,1300,0))))</f>
        <v>100</v>
      </c>
      <c r="R13" s="99">
        <f>IF(FMX!C13&lt;N4,0,IF(FMX!C13&lt;=D2,684,IF(FMX!C13&lt;=E2,1368,IF(FMX!C13&lt;=F2,2052,IF(FMX!C13&lt;=G2,2736,IF(FMX!C13&lt;=H2,3420,IF(FMX!C13&lt;=I2,4100,0)))))))</f>
        <v>684</v>
      </c>
      <c r="S13" s="99">
        <f>(Q13*R13)/1000000</f>
        <v>6.8400000000000002E-2</v>
      </c>
      <c r="T13" s="99">
        <f>(Q13+R13)*2/1000</f>
        <v>1.5680000000000001</v>
      </c>
      <c r="U13" s="103">
        <f>IF(FMX!C8=B25,B28,IF(FMX!C8=C25,C28,IF(FMX!C8=D25,D28,IF(FMX!C8=E25,E28,IF(FMX!C8=F25,F28,IF(FMX!C8=G25,G28,0))))))</f>
        <v>104.64</v>
      </c>
    </row>
    <row r="14" spans="2:21" s="99" customFormat="1" x14ac:dyDescent="0.25">
      <c r="B14" s="101">
        <v>3</v>
      </c>
      <c r="C14" s="99">
        <f>IF(FMX!D14&lt;$L$7,0,IF(FMX!D14&lt;=$M$7,FMX!D14+50,IF(FMX!D14&lt;=$C$6,650,IF(FMX!D14&lt;=$C$7,1300,0))))</f>
        <v>650</v>
      </c>
      <c r="D14" s="99">
        <f>IF(FMX!C14&lt;N4,0,IF(FMX!C14&lt;=D2,684,IF(FMX!C14&lt;=E2,1368,IF(FMX!C14&lt;=F2,2052,IF(FMX!C14&lt;=G2,2736,IF(FMX!C14&lt;=H2,3420,IF(FMX!C14&lt;=I2,4100,0)))))))</f>
        <v>684</v>
      </c>
      <c r="E14" s="99">
        <f t="shared" ref="E14:E16" si="4">(C14*D14)/1000000</f>
        <v>0.4446</v>
      </c>
      <c r="F14" s="99">
        <f t="shared" ref="F14:F16" si="5">(C14+D14)*2/1000</f>
        <v>2.6680000000000001</v>
      </c>
      <c r="G14" s="103">
        <f>IF(FMX!C8=B25,B28,IF(FMX!C8=C25,C28,IF(FMX!C8=D25,D28,IF(FMX!C8=E25,E28,IF(FMX!C8=F25,F28,IF(FMX!C8=G25,G28,0))))))</f>
        <v>104.64</v>
      </c>
      <c r="I14" s="99">
        <f>IF(FMX!C8=B25,S14,IF(FMX!C8=C25,E14,IF(FMX!C8=D25,E14,IF(FMX!C8=E25,S14,IF(FMX!C8=F25,S14,IF(FMX!C8=G25,S14,0))))))</f>
        <v>0.4446</v>
      </c>
      <c r="J14" s="103">
        <f>IF(FMX!C8=B25,U14,IF(FMX!C8=C25,G14,IF(FMX!C8=D25,G14,IF(FMX!C8=E25,G14,IF(FMX!C8=F25,U14,IF(FMX!C8=G25,U14,0))))))</f>
        <v>104.64</v>
      </c>
      <c r="K14" s="103">
        <f t="shared" si="1"/>
        <v>46.522944000000003</v>
      </c>
      <c r="L14" s="103">
        <f t="shared" si="2"/>
        <v>79</v>
      </c>
      <c r="M14" s="103">
        <f>P46</f>
        <v>87</v>
      </c>
      <c r="N14" s="103">
        <f t="shared" si="3"/>
        <v>0</v>
      </c>
      <c r="P14" s="101">
        <v>3</v>
      </c>
      <c r="Q14" s="99">
        <f>IF(FMX!D14&lt;L7,0,IF(FMX!D14&lt;=M7,FMX!D14+50,IF(FMX!D14&lt;=C6,650,IF(FMX!D14&lt;=C7,1300,0))))</f>
        <v>650</v>
      </c>
      <c r="R14" s="99">
        <f>IF(FMX!C14&lt;N4,0,IF(FMX!C14&lt;=D2,684,IF(FMX!C14&lt;=E2,1368,IF(FMX!C14&lt;=F2,2052,IF(FMX!C14&lt;=G2,2736,IF(FMX!C14&lt;=H2,3420,IF(FMX!C14&lt;=I2,4100,0)))))))</f>
        <v>684</v>
      </c>
      <c r="S14" s="99">
        <f>(Q14*R14)/1000000</f>
        <v>0.4446</v>
      </c>
      <c r="T14" s="99">
        <f>(Q14+R14)*2/1000</f>
        <v>2.6680000000000001</v>
      </c>
      <c r="U14" s="103">
        <f>IF(FMX!C8=B25,B28,IF(FMX!C8=C25,C28,IF(FMX!C8=D25,D28,IF(FMX!C8=E25,E28,IF(FMX!C8=F25,F28,IF(FMX!C8=G25,G28,0))))))</f>
        <v>104.64</v>
      </c>
    </row>
    <row r="15" spans="2:21" s="99" customFormat="1" x14ac:dyDescent="0.25">
      <c r="B15" s="101">
        <v>4</v>
      </c>
      <c r="C15" s="99">
        <f>IF(FMX!D15&lt;$L$7,0,IF(FMX!D15&lt;=$M$7,FMX!D15+50,IF(FMX!D15&lt;=$C$6,650,IF(FMX!D15&lt;=$C$7,1300,0))))</f>
        <v>0</v>
      </c>
      <c r="D15" s="99">
        <f>IF(FMX!C15&lt;N4,0,IF(FMX!C15&lt;=D2,684,IF(FMX!C15&lt;=E2,1368,IF(FMX!C15&lt;=F2,2052,IF(FMX!C15&lt;=G2,2736,IF(FMX!C15&lt;=H2,3420,IF(FMX!C15&lt;=I2,4100,0)))))))</f>
        <v>0</v>
      </c>
      <c r="E15" s="99">
        <f t="shared" si="4"/>
        <v>0</v>
      </c>
      <c r="F15" s="99">
        <f t="shared" si="5"/>
        <v>0</v>
      </c>
      <c r="G15" s="103">
        <f>IF(FMX!C8=B25,B28,IF(FMX!C8=C25,C28,IF(FMX!C8=D25,D28,IF(FMX!C8=E25,E28,IF(FMX!C8=F25,F28,IF(FMX!C8=G25,G28,0))))))</f>
        <v>104.64</v>
      </c>
      <c r="I15" s="99">
        <f>IF(FMX!C8=B25,S15,IF(FMX!C8=C25,E15,IF(FMX!C8=D25,E15,IF(FMX!C8=E25,S15,IF(FMX!C8=F25,S15,IF(FMX!C8=G25,S15,0))))))</f>
        <v>0</v>
      </c>
      <c r="J15" s="103">
        <f>IF(FMX!C8=B25,U15,IF(FMX!C8=C25,G15,IF(FMX!C8=D25,G15,IF(FMX!C8=E25,G15,IF(FMX!C8=F25,U15,IF(FMX!C8=G25,U15,0))))))</f>
        <v>104.64</v>
      </c>
      <c r="K15" s="103">
        <f t="shared" si="1"/>
        <v>0</v>
      </c>
      <c r="L15" s="103">
        <f t="shared" si="2"/>
        <v>0</v>
      </c>
      <c r="M15" s="103">
        <f>P47</f>
        <v>0</v>
      </c>
      <c r="N15" s="103">
        <f t="shared" si="3"/>
        <v>0</v>
      </c>
      <c r="P15" s="101">
        <v>4</v>
      </c>
      <c r="Q15" s="99">
        <f>IF(FMX!D15&lt;L7,0,IF(FMX!D15&lt;=M7,FMX!D15+50,IF(FMX!D15&lt;=C6,650,IF(FMX!D15&lt;=C7,1300,0))))</f>
        <v>0</v>
      </c>
      <c r="R15" s="99">
        <f>IF(FMX!C15&lt;N4,0,IF(FMX!C15&lt;=D2,684,IF(FMX!C15&lt;=E2,1368,IF(FMX!C15&lt;=F2,2052,IF(FMX!C15&lt;=G2,2736,IF(FMX!C15&lt;=H2,3420,IF(FMX!C15&lt;=I2,4100,0)))))))</f>
        <v>0</v>
      </c>
      <c r="S15" s="99">
        <f>(Q15*R15)/1000000</f>
        <v>0</v>
      </c>
      <c r="T15" s="99">
        <f>(Q15+R15)*2/1000</f>
        <v>0</v>
      </c>
      <c r="U15" s="103">
        <f>IF(FMX!C8=B25,B28,IF(FMX!C8=C25,C28,IF(FMX!C8=D25,D28,IF(FMX!C8=E25,E28,IF(FMX!C8=F25,F28,IF(FMX!C8=G25,G28,0))))))</f>
        <v>104.64</v>
      </c>
    </row>
    <row r="16" spans="2:21" s="99" customFormat="1" x14ac:dyDescent="0.25">
      <c r="B16" s="101">
        <v>5</v>
      </c>
      <c r="C16" s="99">
        <f>IF(FMX!D16&lt;$L$7,0,IF(FMX!D16&lt;=$M$7,FMX!D16+50,IF(FMX!D16&lt;=$C$6,650,IF(FMX!D16&lt;=$C$7,1300,0))))</f>
        <v>0</v>
      </c>
      <c r="D16" s="99">
        <f>IF(FMX!C16&lt;N4,0,IF(FMX!C16&lt;=D2,684,IF(FMX!C16&lt;=E2,1368,IF(FMX!C16&lt;=F2,2052,IF(FMX!C16&lt;=G2,2736,IF(FMX!C16&lt;=H2,3420,IF(FMX!C16&lt;=I2,4100,0)))))))</f>
        <v>0</v>
      </c>
      <c r="E16" s="99">
        <f t="shared" si="4"/>
        <v>0</v>
      </c>
      <c r="F16" s="99">
        <f t="shared" si="5"/>
        <v>0</v>
      </c>
      <c r="G16" s="103">
        <f>IF(FMX!C8=B25,B28,IF(FMX!C8=C25,C28,IF(FMX!C8=D25,D28,IF(FMX!C8=E25,E28,IF(FMX!C8=F25,F28,IF(FMX!C8=G25,G28,0))))))</f>
        <v>104.64</v>
      </c>
      <c r="I16" s="99">
        <f>IF(FMX!C8=B25,S16,IF(FMX!C8=C25,E16,IF(FMX!C8=D25,E16,IF(FMX!C8=E25,S16,IF(FMX!C8=F25,S16,IF(FMX!C8=G25,S16,0))))))</f>
        <v>0</v>
      </c>
      <c r="J16" s="103">
        <f>IF(FMX!C8=B25,U16,IF(FMX!C8=C25,G16,IF(FMX!C8=D25,G16,IF(FMX!C8=E25,G16,IF(FMX!C8=F25,U16,IF(FMX!C8=G25,U16,0))))))</f>
        <v>104.64</v>
      </c>
      <c r="K16" s="103">
        <f t="shared" si="1"/>
        <v>0</v>
      </c>
      <c r="L16" s="103">
        <f t="shared" si="2"/>
        <v>0</v>
      </c>
      <c r="M16" s="103">
        <f>P48</f>
        <v>0</v>
      </c>
      <c r="N16" s="103">
        <f t="shared" si="3"/>
        <v>0</v>
      </c>
      <c r="P16" s="101">
        <v>5</v>
      </c>
      <c r="Q16" s="99">
        <f>IF(FMX!D16&lt;L7,0,IF(FMX!D16&lt;=M7,FMX!D16+50,IF(FMX!D16&lt;=C6,650,IF(FMX!D16&lt;=C7,1300,0))))</f>
        <v>0</v>
      </c>
      <c r="R16" s="99">
        <f>IF(FMX!C16&lt;N4,0,IF(FMX!C16&lt;=D2,684,IF(FMX!C16&lt;=E2,1368,IF(FMX!C16&lt;=F2,2052,IF(FMX!C16&lt;=G2,2736,IF(FMX!C16&lt;=H2,3420,IF(FMX!C16&lt;=I2,4100,0)))))))</f>
        <v>0</v>
      </c>
      <c r="S16" s="99">
        <f>(Q16*R16)/1000000</f>
        <v>0</v>
      </c>
      <c r="T16" s="99">
        <f>(Q16+R16)*2/1000</f>
        <v>0</v>
      </c>
      <c r="U16" s="103">
        <f>IF(FMX!C8=B25,B28,IF(FMX!C8=C25,C28,IF(FMX!C8=D25,D28,IF(FMX!C8=E25,E28,IF(FMX!C8=F25,F28,IF(FMX!C8=G25,G28,0))))))</f>
        <v>104.64</v>
      </c>
    </row>
    <row r="17" spans="1:21" s="99" customFormat="1" x14ac:dyDescent="0.25">
      <c r="B17" s="101">
        <v>6</v>
      </c>
      <c r="C17" s="99">
        <f>IF(FMX!D17&lt;$L$7,0,IF(FMX!D17&lt;=$M$7,FMX!D17+50,IF(FMX!D17&lt;=$C$6,650,IF(FMX!D17&lt;=$C$7,1300,0))))</f>
        <v>0</v>
      </c>
      <c r="D17" s="99">
        <f>IF(FMX!C17&lt;N4,0,IF(FMX!C17&lt;=D2,684,IF(FMX!C17&lt;=E2,1368,IF(FMX!C17&lt;=F2,2052,IF(FMX!C17&lt;=G2,2736,IF(FMX!C17&lt;=H2,3420,IF(FMX!C17&lt;=I2,4100,0)))))))</f>
        <v>0</v>
      </c>
      <c r="E17" s="99">
        <f t="shared" ref="E17:E21" si="6">(C17*D17)/1000000</f>
        <v>0</v>
      </c>
      <c r="F17" s="99">
        <f t="shared" ref="F17:F21" si="7">(C17+D17)*2/1000</f>
        <v>0</v>
      </c>
      <c r="G17" s="103">
        <f>IF(FMX!C8=B25,B28,IF(FMX!C8=C25,C28,IF(FMX!C8=D25,D28,IF(FMX!C8=E25,E28,IF(FMX!C8=F25,F28,IF(FMX!C8=G25,G28,0))))))</f>
        <v>104.64</v>
      </c>
      <c r="I17" s="99">
        <f>IF(FMX!C8=B25,S17,IF(FMX!C8=C25,E17,IF(FMX!C8=D25,E17,IF(FMX!C8=E25,S17,IF(FMX!C8=F25,S17,IF(FMX!C8=G25,S17,0))))))</f>
        <v>0</v>
      </c>
      <c r="J17" s="103">
        <f>IF(FMX!C8=B25,U17,IF(FMX!C8=C25,G17,IF(FMX!C8=D25,G17,IF(FMX!C8=E25,G17,IF(FMX!C8=F25,U17,IF(FMX!C8=G25,U17,0))))))</f>
        <v>104.64</v>
      </c>
      <c r="K17" s="103">
        <f t="shared" si="1"/>
        <v>0</v>
      </c>
      <c r="L17" s="103"/>
      <c r="M17" s="103"/>
      <c r="N17" s="103"/>
      <c r="P17" s="101">
        <v>6</v>
      </c>
      <c r="Q17" s="99">
        <f>IF(FMX!D17&lt;L7,0,IF(FMX!D17&lt;=M7,FMX!D17+50,IF(FMX!D17&lt;=C6,650,IF(FMX!D17&lt;=C7,1300,0))))</f>
        <v>0</v>
      </c>
      <c r="R17" s="99">
        <f>IF(FMX!C17&lt;N4,0,IF(FMX!C17&lt;=D2,684,IF(FMX!C17&lt;=E2,1368,IF(FMX!C17&lt;=F2,2052,IF(FMX!C17&lt;=G2,2736,IF(FMX!C17&lt;=H2,3420,IF(FMX!C17&lt;=I2,4100,0)))))))</f>
        <v>0</v>
      </c>
      <c r="S17" s="99">
        <f t="shared" ref="S17:S21" si="8">(Q17*R17)/1000000</f>
        <v>0</v>
      </c>
      <c r="T17" s="99">
        <f t="shared" ref="T17:T21" si="9">(Q17+R17)*2/1000</f>
        <v>0</v>
      </c>
      <c r="U17" s="103">
        <f>IF(FMX!C8=B25,B28,IF(FMX!C8=C25,C28,IF(FMX!C8=D25,D28,IF(FMX!C8=E25,E28,IF(FMX!C8=F25,F28,IF(FMX!C8=G25,G28,0))))))</f>
        <v>104.64</v>
      </c>
    </row>
    <row r="18" spans="1:21" s="99" customFormat="1" x14ac:dyDescent="0.25">
      <c r="B18" s="101">
        <v>7</v>
      </c>
      <c r="C18" s="99">
        <f>IF(FMX!D18&lt;$L$7,0,IF(FMX!D18&lt;=$M$7,FMX!D18+50,IF(FMX!D18&lt;=$C$6,650,IF(FMX!D18&lt;=$C$7,1300,0))))</f>
        <v>0</v>
      </c>
      <c r="D18" s="99">
        <f>IF(FMX!C18&lt;N4,0,IF(FMX!C18&lt;=D2,684,IF(FMX!C18&lt;=E2,1368,IF(FMX!C18&lt;=F2,2052,IF(FMX!C18&lt;=G2,2736,IF(FMX!C18&lt;=H2,3420,IF(FMX!C18&lt;=I2,4100,0)))))))</f>
        <v>0</v>
      </c>
      <c r="E18" s="99">
        <f t="shared" si="6"/>
        <v>0</v>
      </c>
      <c r="F18" s="99">
        <f t="shared" si="7"/>
        <v>0</v>
      </c>
      <c r="G18" s="103">
        <f>IF(FMX!C8=B25,B28,IF(FMX!C8=C25,C28,IF(FMX!C8=D25,D28,IF(FMX!C8=E25,E28,IF(FMX!C8=F25,F28,IF(FMX!C8=G25,G28,0))))))</f>
        <v>104.64</v>
      </c>
      <c r="I18" s="99">
        <f>IF(FMX!C8=B25,S18,IF(FMX!C8=C25,E18,IF(FMX!C8=D25,E18,IF(FMX!C8=E25,S18,IF(FMX!C8=F25,S18,IF(FMX!C8=G25,S18,0))))))</f>
        <v>0</v>
      </c>
      <c r="J18" s="103">
        <f>IF(FMX!C8=B25,U18,IF(FMX!C8=C25,G18,IF(FMX!C8=D25,G18,IF(FMX!C8=E25,G18,IF(FMX!C8=F25,U18,IF(FMX!C8=G25,U18,0))))))</f>
        <v>104.64</v>
      </c>
      <c r="K18" s="103">
        <f t="shared" si="1"/>
        <v>0</v>
      </c>
      <c r="L18" s="103"/>
      <c r="M18" s="103"/>
      <c r="N18" s="103"/>
      <c r="P18" s="101">
        <v>7</v>
      </c>
      <c r="Q18" s="99">
        <f>IF(FMX!D18&lt;L7,0,IF(FMX!D18&lt;=M7,FMX!D18+50,IF(FMX!D18&lt;=C6,650,IF(FMX!D18&lt;=C7,1300,0))))</f>
        <v>0</v>
      </c>
      <c r="R18" s="99">
        <f>IF(FMX!C18&lt;N4,0,IF(FMX!C18&lt;=D2,684,IF(FMX!C18&lt;=E2,1368,IF(FMX!C18&lt;=F2,2052,IF(FMX!C18&lt;=G2,2736,IF(FMX!C18&lt;=H2,3420,IF(FMX!C18&lt;=I2,4100,0)))))))</f>
        <v>0</v>
      </c>
      <c r="S18" s="99">
        <f t="shared" si="8"/>
        <v>0</v>
      </c>
      <c r="T18" s="99">
        <f t="shared" si="9"/>
        <v>0</v>
      </c>
      <c r="U18" s="103">
        <f>IF(FMX!C8=B25,B28,IF(FMX!C8=C25,C28,IF(FMX!C8=D25,D28,IF(FMX!C8=E25,E28,IF(FMX!C8=F25,F28,IF(FMX!C8=G25,G28,0))))))</f>
        <v>104.64</v>
      </c>
    </row>
    <row r="19" spans="1:21" s="99" customFormat="1" x14ac:dyDescent="0.25">
      <c r="B19" s="101">
        <v>8</v>
      </c>
      <c r="C19" s="99">
        <f>IF(FMX!D19&lt;$L$7,0,IF(FMX!D19&lt;=$M$7,FMX!D19+50,IF(FMX!D19&lt;=$C$6,650,IF(FMX!D19&lt;=$C$7,1300,0))))</f>
        <v>0</v>
      </c>
      <c r="D19" s="99">
        <f>IF(FMX!C19&lt;N4,0,IF(FMX!C19&lt;=D2,684,IF(FMX!C19&lt;=E2,1368,IF(FMX!C19&lt;=F2,2052,IF(FMX!C19&lt;=G2,2736,IF(FMX!C19&lt;=H2,3420,IF(FMX!C19&lt;=I2,4100,0)))))))</f>
        <v>0</v>
      </c>
      <c r="E19" s="99">
        <f t="shared" si="6"/>
        <v>0</v>
      </c>
      <c r="F19" s="99">
        <f t="shared" si="7"/>
        <v>0</v>
      </c>
      <c r="G19" s="103">
        <f>IF(FMX!C8=B25,B28,IF(FMX!C8=C25,C28,IF(FMX!C8=D25,D28,IF(FMX!C8=E25,E28,IF(FMX!C8=F25,F28,IF(FMX!C8=G25,G28,0))))))</f>
        <v>104.64</v>
      </c>
      <c r="I19" s="99">
        <f>IF(FMX!C8=B25,S19,IF(FMX!C8=C25,E19,IF(FMX!C8=D25,E19,IF(FMX!C8=E25,S19,IF(FMX!C8=F25,S19,IF(FMX!C8=G25,S19,0))))))</f>
        <v>0</v>
      </c>
      <c r="J19" s="103">
        <f>IF(FMX!C8=B25,U19,IF(FMX!C8=C25,G19,IF(FMX!C8=D25,G19,IF(FMX!C8=E25,G19,IF(FMX!C8=F25,U19,IF(FMX!C8=G25,U19,0))))))</f>
        <v>104.64</v>
      </c>
      <c r="K19" s="103">
        <f t="shared" si="1"/>
        <v>0</v>
      </c>
      <c r="L19" s="103"/>
      <c r="M19" s="103"/>
      <c r="N19" s="103"/>
      <c r="P19" s="101">
        <v>8</v>
      </c>
      <c r="Q19" s="99">
        <f>IF(FMX!D19&lt;L7,0,IF(FMX!D19&lt;=M7,FMX!D19+50,IF(FMX!D19&lt;=C6,650,IF(FMX!D19&lt;=C7,1300,0))))</f>
        <v>0</v>
      </c>
      <c r="R19" s="99">
        <f>IF(FMX!C19&lt;N4,0,IF(FMX!C19&lt;=D2,684,IF(FMX!C19&lt;=E2,1368,IF(FMX!C19&lt;=F2,2052,IF(FMX!C19&lt;=G2,2736,IF(FMX!C19&lt;=H2,3420,IF(FMX!C19&lt;=I2,4100,0)))))))</f>
        <v>0</v>
      </c>
      <c r="S19" s="99">
        <f t="shared" si="8"/>
        <v>0</v>
      </c>
      <c r="T19" s="99">
        <f t="shared" si="9"/>
        <v>0</v>
      </c>
      <c r="U19" s="103">
        <f>IF(FMX!C8=B25,B28,IF(FMX!C8=C25,C28,IF(FMX!C8=D25,D28,IF(FMX!C8=E25,E28,IF(FMX!C8=F25,F28,IF(FMX!C8=G25,G28,0))))))</f>
        <v>104.64</v>
      </c>
    </row>
    <row r="20" spans="1:21" s="99" customFormat="1" x14ac:dyDescent="0.25">
      <c r="B20" s="101">
        <v>9</v>
      </c>
      <c r="C20" s="99">
        <f>IF(FMX!D20&lt;$L$7,0,IF(FMX!D20&lt;=$M$7,FMX!D20+50,IF(FMX!D20&lt;=$C$6,650,IF(FMX!D20&lt;=$C$7,1300,0))))</f>
        <v>0</v>
      </c>
      <c r="D20" s="99">
        <f>IF(FMX!C20&lt;N4,0,IF(FMX!C20&lt;=D2,684,IF(FMX!C20&lt;=E2,1368,IF(FMX!C20&lt;=F2,2052,IF(FMX!C20&lt;=G2,2736,IF(FMX!C20&lt;=H2,3420,IF(FMX!C20&lt;=I2,4100,0)))))))</f>
        <v>0</v>
      </c>
      <c r="E20" s="99">
        <f t="shared" si="6"/>
        <v>0</v>
      </c>
      <c r="F20" s="99">
        <f t="shared" si="7"/>
        <v>0</v>
      </c>
      <c r="G20" s="103">
        <f>IF(FMX!C8=B25,B28,IF(FMX!C8=C25,C28,IF(FMX!C8=D25,D28,IF(FMX!C8=E25,E28,IF(FMX!C8=F25,F28,IF(FMX!C8=G25,G28,0))))))</f>
        <v>104.64</v>
      </c>
      <c r="I20" s="99">
        <f>IF(FMX!C8=B25,S20,IF(FMX!C8=C25,E20,IF(FMX!C8=D25,E20,IF(FMX!C8=E25,S20,IF(FMX!C8=F25,S20,IF(FMX!C8=G25,S20,0))))))</f>
        <v>0</v>
      </c>
      <c r="J20" s="103">
        <f>IF(FMX!C8=B25,U20,IF(FMX!C8=C25,G20,IF(FMX!C8=D25,G20,IF(FMX!C8=E25,G20,IF(FMX!C8=F25,U20,IF(FMX!C8=G25,U20,0))))))</f>
        <v>104.64</v>
      </c>
      <c r="K20" s="103">
        <f t="shared" si="1"/>
        <v>0</v>
      </c>
      <c r="L20" s="103"/>
      <c r="M20" s="103"/>
      <c r="N20" s="103"/>
      <c r="P20" s="101">
        <v>9</v>
      </c>
      <c r="Q20" s="99">
        <f>IF(FMX!D20&lt;L7,0,IF(FMX!D20&lt;=M7,FMX!D20+50,IF(FMX!D20&lt;=C6,650,IF(FMX!D20&lt;=C7,1300,0))))</f>
        <v>0</v>
      </c>
      <c r="R20" s="99">
        <f>IF(FMX!C20&lt;N4,0,IF(FMX!C20&lt;=D2,684,IF(FMX!C20&lt;=E2,1368,IF(FMX!C20&lt;=F2,2052,IF(FMX!C20&lt;=G2,2736,IF(FMX!C20&lt;=H2,3420,IF(FMX!C20&lt;=I2,4100,0)))))))</f>
        <v>0</v>
      </c>
      <c r="S20" s="99">
        <f t="shared" si="8"/>
        <v>0</v>
      </c>
      <c r="T20" s="99">
        <f t="shared" si="9"/>
        <v>0</v>
      </c>
      <c r="U20" s="103">
        <f>IF(FMX!C8=B25,B28,IF(FMX!C8=C25,C28,IF(FMX!C8=D25,D28,IF(FMX!C8=E25,E28,IF(FMX!C8=F25,F28,IF(FMX!C8=G25,G28,0))))))</f>
        <v>104.64</v>
      </c>
    </row>
    <row r="21" spans="1:21" s="99" customFormat="1" x14ac:dyDescent="0.25">
      <c r="B21" s="101">
        <v>10</v>
      </c>
      <c r="C21" s="99">
        <f>IF(FMX!D21&lt;$L$7,0,IF(FMX!D21&lt;=$M$7,FMX!D21+50,IF(FMX!D21&lt;=$C$6,650,IF(FMX!D21&lt;=$C$7,1300,0))))</f>
        <v>0</v>
      </c>
      <c r="D21" s="99">
        <f>IF(FMX!C21&lt;N4,0,IF(FMX!C21&lt;=D2,684,IF(FMX!C21&lt;=E2,1368,IF(FMX!C21&lt;=F2,2052,IF(FMX!C21&lt;=G2,2736,IF(FMX!C21&lt;=H2,3420,IF(FMX!C21&lt;=I2,4100,0)))))))</f>
        <v>0</v>
      </c>
      <c r="E21" s="99">
        <f t="shared" si="6"/>
        <v>0</v>
      </c>
      <c r="F21" s="99">
        <f t="shared" si="7"/>
        <v>0</v>
      </c>
      <c r="G21" s="103">
        <f>IF(FMX!C8=B25,B28,IF(FMX!C8=C25,C28,IF(FMX!C8=D25,D28,IF(FMX!C8=E25,E28,IF(FMX!C8=F25,F28,IF(FMX!C8=G25,G28,0))))))</f>
        <v>104.64</v>
      </c>
      <c r="I21" s="99">
        <f>IF(FMX!C8=B25,S21,IF(FMX!C8=C25,E21,IF(FMX!C8=D25,E21,IF(FMX!C8=E25,S21,IF(FMX!C8=F25,S21,IF(FMX!C8=G25,S21,0))))))</f>
        <v>0</v>
      </c>
      <c r="J21" s="103">
        <f>IF(FMX!C8=B25,U21,IF(FMX!C8=C25,G21,IF(FMX!C8=D25,G21,IF(FMX!C8=E25,G21,IF(FMX!C8=F25,U21,IF(FMX!C8=G25,U21,0))))))</f>
        <v>104.64</v>
      </c>
      <c r="K21" s="103">
        <f t="shared" si="1"/>
        <v>0</v>
      </c>
      <c r="L21" s="103"/>
      <c r="M21" s="103"/>
      <c r="N21" s="103"/>
      <c r="P21" s="101">
        <v>10</v>
      </c>
      <c r="Q21" s="99">
        <f>IF(FMX!D21&lt;L7,0,IF(FMX!D21&lt;=M7,FMX!D21+50,IF(FMX!D21&lt;=C6,650,IF(FMX!D21&lt;=C7,1300,0))))</f>
        <v>0</v>
      </c>
      <c r="R21" s="99">
        <f>IF(FMX!C21&lt;N4,0,IF(FMX!C21&lt;=D2,684,IF(FMX!C21&lt;=E2,1368,IF(FMX!C21&lt;=F2,2052,IF(FMX!C21&lt;=G2,2736,IF(FMX!C21&lt;=H2,3420,IF(FMX!C21&lt;=I2,4100,0)))))))</f>
        <v>0</v>
      </c>
      <c r="S21" s="99">
        <f t="shared" si="8"/>
        <v>0</v>
      </c>
      <c r="T21" s="99">
        <f t="shared" si="9"/>
        <v>0</v>
      </c>
      <c r="U21" s="103">
        <f>IF(FMX!C8=B25,B28,IF(FMX!C8=C25,C28,IF(FMX!C8=D25,D28,IF(FMX!C8=E25,E28,IF(FMX!C8=F25,F28,IF(FMX!C8=G25,G28,0))))))</f>
        <v>104.64</v>
      </c>
    </row>
    <row r="22" spans="1:21" s="99" customFormat="1" x14ac:dyDescent="0.25"/>
    <row r="23" spans="1:21" s="99" customFormat="1" x14ac:dyDescent="0.25"/>
    <row r="24" spans="1:21" s="99" customFormat="1" ht="60.75" customHeight="1" x14ac:dyDescent="0.25">
      <c r="A24" s="105"/>
      <c r="B24" s="106" t="s">
        <v>49</v>
      </c>
      <c r="C24" s="106" t="s">
        <v>65</v>
      </c>
      <c r="D24" s="106"/>
      <c r="E24" s="106"/>
      <c r="F24" s="106"/>
      <c r="G24" s="106" t="s">
        <v>9</v>
      </c>
      <c r="L24" s="107"/>
      <c r="N24" s="108" t="s">
        <v>56</v>
      </c>
      <c r="O24" s="109" t="s">
        <v>58</v>
      </c>
    </row>
    <row r="25" spans="1:21" s="111" customFormat="1" ht="56.25" x14ac:dyDescent="0.25">
      <c r="A25" s="110"/>
      <c r="B25" s="106" t="s">
        <v>59</v>
      </c>
      <c r="C25" s="106" t="s">
        <v>63</v>
      </c>
      <c r="D25" s="106" t="s">
        <v>60</v>
      </c>
      <c r="E25" s="106" t="s">
        <v>61</v>
      </c>
      <c r="F25" s="106" t="s">
        <v>62</v>
      </c>
      <c r="G25" s="106"/>
      <c r="L25" s="106"/>
      <c r="M25" s="112"/>
      <c r="N25" s="113">
        <v>12</v>
      </c>
      <c r="O25" s="104">
        <v>1</v>
      </c>
    </row>
    <row r="26" spans="1:21" s="111" customFormat="1" ht="45" x14ac:dyDescent="0.25">
      <c r="A26" s="110"/>
      <c r="B26" s="114" t="s">
        <v>81</v>
      </c>
      <c r="C26" s="114" t="s">
        <v>99</v>
      </c>
      <c r="D26" s="114" t="s">
        <v>1</v>
      </c>
      <c r="E26" s="114" t="s">
        <v>100</v>
      </c>
      <c r="F26" s="114" t="s">
        <v>101</v>
      </c>
      <c r="G26" s="114"/>
      <c r="L26" s="106"/>
      <c r="N26" s="108" t="s">
        <v>73</v>
      </c>
      <c r="O26" s="104">
        <v>1</v>
      </c>
    </row>
    <row r="27" spans="1:21" s="111" customFormat="1" x14ac:dyDescent="0.25">
      <c r="A27" s="110"/>
      <c r="B27" s="108" t="s">
        <v>23</v>
      </c>
      <c r="C27" s="108" t="s">
        <v>23</v>
      </c>
      <c r="D27" s="108">
        <v>1300</v>
      </c>
      <c r="E27" s="108">
        <v>1300</v>
      </c>
      <c r="F27" s="108" t="s">
        <v>23</v>
      </c>
      <c r="G27" s="108"/>
      <c r="L27" s="106"/>
    </row>
    <row r="28" spans="1:21" s="99" customFormat="1" ht="15.75" x14ac:dyDescent="0.25">
      <c r="B28" s="115">
        <v>192</v>
      </c>
      <c r="C28" s="115">
        <v>159.36000000000001</v>
      </c>
      <c r="D28" s="115">
        <v>100.8</v>
      </c>
      <c r="E28" s="115">
        <v>104.64</v>
      </c>
      <c r="F28" s="115">
        <v>131.52000000000001</v>
      </c>
      <c r="G28" s="115" t="s">
        <v>108</v>
      </c>
    </row>
    <row r="29" spans="1:21" s="99" customFormat="1" x14ac:dyDescent="0.25">
      <c r="B29" s="102" t="s">
        <v>14</v>
      </c>
      <c r="C29" s="102"/>
      <c r="D29" s="102"/>
      <c r="E29" s="102"/>
      <c r="F29" s="102"/>
      <c r="G29" s="102"/>
    </row>
    <row r="30" spans="1:21" s="99" customFormat="1" x14ac:dyDescent="0.25">
      <c r="B30" s="100" t="s">
        <v>15</v>
      </c>
      <c r="C30" s="100"/>
      <c r="D30" s="100"/>
      <c r="E30" s="100"/>
      <c r="F30" s="100"/>
      <c r="G30" s="100"/>
    </row>
    <row r="31" spans="1:21" s="99" customFormat="1" x14ac:dyDescent="0.25"/>
    <row r="32" spans="1:21" s="99" customFormat="1" x14ac:dyDescent="0.25"/>
    <row r="33" spans="2:17" s="99" customFormat="1" x14ac:dyDescent="0.25">
      <c r="B33" s="100" t="s">
        <v>26</v>
      </c>
      <c r="C33" s="100"/>
      <c r="D33" s="100"/>
      <c r="E33" s="100"/>
      <c r="F33" s="100"/>
      <c r="G33" s="100"/>
      <c r="H33" s="100"/>
      <c r="I33" s="100"/>
      <c r="J33" s="100"/>
      <c r="K33" s="100"/>
      <c r="L33" s="100"/>
      <c r="M33" s="100"/>
      <c r="N33" s="100"/>
      <c r="O33" s="100"/>
      <c r="P33" s="100"/>
    </row>
    <row r="34" spans="2:17" s="99" customFormat="1" ht="45" x14ac:dyDescent="0.25">
      <c r="B34" s="104" t="s">
        <v>0</v>
      </c>
      <c r="C34" s="104" t="s">
        <v>4</v>
      </c>
      <c r="D34" s="104" t="s">
        <v>3</v>
      </c>
      <c r="E34" s="104" t="s">
        <v>7</v>
      </c>
      <c r="F34" s="104" t="s">
        <v>6</v>
      </c>
      <c r="G34" s="104" t="s">
        <v>8</v>
      </c>
      <c r="H34" s="104" t="s">
        <v>16</v>
      </c>
      <c r="I34" s="104" t="s">
        <v>4</v>
      </c>
      <c r="J34" s="104" t="s">
        <v>3</v>
      </c>
      <c r="K34" s="104" t="s">
        <v>17</v>
      </c>
      <c r="L34" s="104" t="s">
        <v>7</v>
      </c>
      <c r="M34" s="104" t="s">
        <v>6</v>
      </c>
      <c r="N34" s="104" t="s">
        <v>51</v>
      </c>
      <c r="O34" s="104" t="s">
        <v>18</v>
      </c>
      <c r="P34" s="104" t="s">
        <v>19</v>
      </c>
      <c r="Q34" s="104" t="s">
        <v>25</v>
      </c>
    </row>
    <row r="35" spans="2:17" s="99" customFormat="1" x14ac:dyDescent="0.25">
      <c r="B35" s="116" t="str">
        <f>FMX!C8</f>
        <v>Interior NATURE &amp; MATERIAL, FH/FH, черная сердцевина, 12 мм</v>
      </c>
      <c r="C35" s="99">
        <f>IF(FMX!C8=B25,B27,IF(FMX!C8=C25,C27,IF(FMX!C8=D25,D27,IF(FMX!C8=E25,E27,IF(FMX!C8=F25,F27,IF(FMX!C8=G25,G27,0))))))</f>
        <v>1300</v>
      </c>
      <c r="D35" s="99">
        <v>4100</v>
      </c>
      <c r="E35" s="99">
        <f>(C35*D35)/1000000</f>
        <v>5.33</v>
      </c>
      <c r="F35" s="99">
        <f>(C35+D35)*2/1000</f>
        <v>10.8</v>
      </c>
      <c r="G35" s="103">
        <f>IF(FMX!C8=B25,B28,IF(FMX!C8=C25,C28,IF(FMX!C8=D25,D28,IF(FMX!C8=E25,E28,IF(FMX!C8=F25,F28,IF(FMX!C8=G25,G28,0))))))</f>
        <v>104.64</v>
      </c>
      <c r="H35" s="103">
        <f>E35*G35</f>
        <v>557.73120000000006</v>
      </c>
      <c r="I35" s="99">
        <f>IF(FMX!D12&lt;L5,0,IF(FMX!D12&lt;=M5,FMX!D12,0))</f>
        <v>1000</v>
      </c>
      <c r="J35" s="99">
        <f>IF(FMX!C12&lt;N5,0,IF(FMX!C12&lt;=O5,FMX!C12,0))</f>
        <v>1000</v>
      </c>
      <c r="K35" s="101">
        <f>IF(I35=0,0,IF(J35=0,0,(ROUNDDOWN(C35/(I35+6),0))*(ROUNDDOWN(D35/(J35+6),0))))</f>
        <v>4</v>
      </c>
      <c r="L35" s="99">
        <f>(I35*J35)*K35/1000000</f>
        <v>4</v>
      </c>
      <c r="M35" s="99">
        <f>(I35+J35)*2*K35/1000</f>
        <v>16</v>
      </c>
      <c r="N35" s="117">
        <v>9</v>
      </c>
      <c r="O35" s="103">
        <f>M35*N35</f>
        <v>144</v>
      </c>
      <c r="P35" s="117">
        <f>IF(I35=0,0,IF(J35=0,0,IF(K35=0,0,ROUNDUP((H35+O35)/K35,0))))</f>
        <v>176</v>
      </c>
      <c r="Q35" s="103">
        <f>IF(I35=0,0,IF(J35=0,0,ROUNDUP((G35*I35*J35/1000000)+(I35+J35)*2*N35/1000,0)))</f>
        <v>141</v>
      </c>
    </row>
    <row r="36" spans="2:17" s="99" customFormat="1" x14ac:dyDescent="0.25">
      <c r="B36" s="116"/>
      <c r="C36" s="99">
        <f>IF(FMX!C8=B25,B27,IF(FMX!C8=C25,C27,IF(FMX!C8=D25,D27,IF(FMX!C8=E25,E27,IF(FMX!C8=F25,F27,IF(FMX!C8=G25,G27,0))))))</f>
        <v>1300</v>
      </c>
      <c r="D36" s="99">
        <v>4100</v>
      </c>
      <c r="E36" s="99">
        <f t="shared" ref="E36:E39" si="10">(C36*D36)/1000000</f>
        <v>5.33</v>
      </c>
      <c r="F36" s="99">
        <f t="shared" ref="F36:F39" si="11">(C36+D36)*2/1000</f>
        <v>10.8</v>
      </c>
      <c r="G36" s="103">
        <f>IF(FMX!C8=B25,B28,IF(FMX!C8=C25,C28,IF(FMX!C8=D25,D28,IF(FMX!C8=E25,E28,IF(FMX!C8=F25,F28,IF(FMX!C8=G25,G28,0))))))</f>
        <v>104.64</v>
      </c>
      <c r="H36" s="103">
        <f t="shared" ref="H36:H39" si="12">E36*G36</f>
        <v>557.73120000000006</v>
      </c>
      <c r="I36" s="99">
        <f>IF(FMX!D13&lt;L5,0,IF(FMX!D13&lt;=M5,FMX!D13,0))</f>
        <v>0</v>
      </c>
      <c r="J36" s="99">
        <f>IF(FMX!C13&lt;N5,0,IF(FMX!C13&lt;=O5,FMX!C13,0))</f>
        <v>350</v>
      </c>
      <c r="K36" s="101">
        <f t="shared" ref="K36:K39" si="13">IF(I36=0,0,IF(J36=0,0,(ROUNDDOWN(C36/(I36+6),0))*(ROUNDDOWN(D36/(J36+6),0))))</f>
        <v>0</v>
      </c>
      <c r="L36" s="99">
        <f t="shared" ref="L36:L39" si="14">(I36*J36)*K36/1000000</f>
        <v>0</v>
      </c>
      <c r="M36" s="99">
        <f t="shared" ref="M36:M39" si="15">(I36+J36)*2*K36/1000</f>
        <v>0</v>
      </c>
      <c r="N36" s="117">
        <v>9</v>
      </c>
      <c r="O36" s="103">
        <f t="shared" ref="O36:O39" si="16">M36*N36</f>
        <v>0</v>
      </c>
      <c r="P36" s="117">
        <f t="shared" ref="P36:P39" si="17">IF(I36=0,0,IF(J36=0,0,IF(K36=0,0,ROUNDUP((H36+O36)/K36,0))))</f>
        <v>0</v>
      </c>
      <c r="Q36" s="103">
        <f t="shared" ref="Q36:Q39" si="18">IF(I36=0,0,IF(J36=0,0,ROUNDUP((G36*I36*J36/1000000)+(I36+J36)*2*N36/1000,0)))</f>
        <v>0</v>
      </c>
    </row>
    <row r="37" spans="2:17" s="99" customFormat="1" x14ac:dyDescent="0.25">
      <c r="B37" s="116"/>
      <c r="C37" s="99">
        <f>IF(FMX!C8=B25,B27,IF(FMX!C8=C25,C27,IF(FMX!C8=D25,D27,IF(FMX!C8=E25,E27,IF(FMX!C8=F25,F27,IF(FMX!C8=G25,G27,0))))))</f>
        <v>1300</v>
      </c>
      <c r="D37" s="99">
        <v>4100</v>
      </c>
      <c r="E37" s="99">
        <f t="shared" si="10"/>
        <v>5.33</v>
      </c>
      <c r="F37" s="99">
        <f t="shared" si="11"/>
        <v>10.8</v>
      </c>
      <c r="G37" s="103">
        <f>IF(FMX!C8=B25,B28,IF(FMX!C8=C25,C28,IF(FMX!C8=D25,D28,IF(FMX!C8=E25,E28,IF(FMX!C8=F25,F28,IF(FMX!C8=G25,G28,0))))))</f>
        <v>104.64</v>
      </c>
      <c r="H37" s="103">
        <f t="shared" si="12"/>
        <v>557.73120000000006</v>
      </c>
      <c r="I37" s="99">
        <f>IF(FMX!D14&lt;L5,0,IF(FMX!D14&lt;=M5,FMX!D14,0))</f>
        <v>610</v>
      </c>
      <c r="J37" s="99">
        <f>IF(FMX!C14&lt;N5,0,IF(FMX!C14&lt;=O5,FMX!C14,0))</f>
        <v>680</v>
      </c>
      <c r="K37" s="101">
        <f t="shared" si="13"/>
        <v>10</v>
      </c>
      <c r="L37" s="99">
        <f t="shared" si="14"/>
        <v>4.1479999999999997</v>
      </c>
      <c r="M37" s="99">
        <f t="shared" si="15"/>
        <v>25.8</v>
      </c>
      <c r="N37" s="117">
        <v>9</v>
      </c>
      <c r="O37" s="103">
        <f>M37*N37</f>
        <v>232.20000000000002</v>
      </c>
      <c r="P37" s="117">
        <f t="shared" si="17"/>
        <v>79</v>
      </c>
      <c r="Q37" s="103">
        <f t="shared" si="18"/>
        <v>67</v>
      </c>
    </row>
    <row r="38" spans="2:17" s="99" customFormat="1" x14ac:dyDescent="0.25">
      <c r="B38" s="116"/>
      <c r="C38" s="99">
        <f>IF(FMX!C8=B25,B27,IF(FMX!C8=C25,C27,IF(FMX!C8=D25,D27,IF(FMX!C8=E25,E27,IF(FMX!C8=F25,F27,IF(FMX!C8=G25,G27,0))))))</f>
        <v>1300</v>
      </c>
      <c r="D38" s="99">
        <v>4100</v>
      </c>
      <c r="E38" s="99">
        <f t="shared" si="10"/>
        <v>5.33</v>
      </c>
      <c r="F38" s="99">
        <f t="shared" si="11"/>
        <v>10.8</v>
      </c>
      <c r="G38" s="103">
        <f>IF(FMX!C8=B25,B28,IF(FMX!C8=C25,C28,IF(FMX!C8=D25,D28,IF(FMX!C8=E25,E28,IF(FMX!C8=F25,F28,IF(FMX!C8=G25,G28,0))))))</f>
        <v>104.64</v>
      </c>
      <c r="H38" s="103">
        <f t="shared" si="12"/>
        <v>557.73120000000006</v>
      </c>
      <c r="I38" s="99">
        <f>IF(FMX!D15&lt;L5,0,IF(FMX!D15&lt;=M5,FMX!D15,0))</f>
        <v>0</v>
      </c>
      <c r="J38" s="99">
        <f>IF(FMX!C15&lt;N5,0,IF(FMX!C15&lt;=O5,FMX!C15,0))</f>
        <v>0</v>
      </c>
      <c r="K38" s="101">
        <f t="shared" si="13"/>
        <v>0</v>
      </c>
      <c r="L38" s="99">
        <f t="shared" si="14"/>
        <v>0</v>
      </c>
      <c r="M38" s="99">
        <f t="shared" si="15"/>
        <v>0</v>
      </c>
      <c r="N38" s="117">
        <v>9</v>
      </c>
      <c r="O38" s="103">
        <f t="shared" si="16"/>
        <v>0</v>
      </c>
      <c r="P38" s="117">
        <f t="shared" si="17"/>
        <v>0</v>
      </c>
      <c r="Q38" s="103">
        <f t="shared" si="18"/>
        <v>0</v>
      </c>
    </row>
    <row r="39" spans="2:17" s="99" customFormat="1" x14ac:dyDescent="0.25">
      <c r="B39" s="116"/>
      <c r="C39" s="99">
        <f>IF(FMX!C8=B25,B27,IF(FMX!C8=C25,C27,IF(FMX!C8=D25,D27,IF(FMX!C8=E25,E27,IF(FMX!C8=F25,F27,IF(FMX!C8=G25,G27,0))))))</f>
        <v>1300</v>
      </c>
      <c r="D39" s="99">
        <v>4100</v>
      </c>
      <c r="E39" s="99">
        <f t="shared" si="10"/>
        <v>5.33</v>
      </c>
      <c r="F39" s="99">
        <f t="shared" si="11"/>
        <v>10.8</v>
      </c>
      <c r="G39" s="103">
        <f>IF(FMX!C8=B25,B28,IF(FMX!C8=C25,C28,IF(FMX!C8=D25,D28,IF(FMX!C8=E25,E28,IF(FMX!C8=F25,F28,IF(FMX!C8=G25,G28,0))))))</f>
        <v>104.64</v>
      </c>
      <c r="H39" s="103">
        <f t="shared" si="12"/>
        <v>557.73120000000006</v>
      </c>
      <c r="I39" s="99">
        <f>IF(FMX!D16&lt;L5,0,IF(FMX!D16&lt;=M5,FMX!D16,0))</f>
        <v>0</v>
      </c>
      <c r="J39" s="99">
        <f>IF(FMX!C16&lt;N5,0,IF(FMX!C16&lt;=O5,FMX!C16,0))</f>
        <v>0</v>
      </c>
      <c r="K39" s="101">
        <f t="shared" si="13"/>
        <v>0</v>
      </c>
      <c r="L39" s="99">
        <f t="shared" si="14"/>
        <v>0</v>
      </c>
      <c r="M39" s="99">
        <f t="shared" si="15"/>
        <v>0</v>
      </c>
      <c r="N39" s="117">
        <v>9</v>
      </c>
      <c r="O39" s="103">
        <f t="shared" si="16"/>
        <v>0</v>
      </c>
      <c r="P39" s="117">
        <f t="shared" si="17"/>
        <v>0</v>
      </c>
      <c r="Q39" s="103">
        <f t="shared" si="18"/>
        <v>0</v>
      </c>
    </row>
    <row r="40" spans="2:17" s="99" customFormat="1" x14ac:dyDescent="0.25"/>
    <row r="41" spans="2:17" s="99" customFormat="1" x14ac:dyDescent="0.25"/>
    <row r="42" spans="2:17" s="99" customFormat="1" x14ac:dyDescent="0.25">
      <c r="B42" s="100" t="s">
        <v>24</v>
      </c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100"/>
      <c r="P42" s="100"/>
    </row>
    <row r="43" spans="2:17" s="99" customFormat="1" ht="45" x14ac:dyDescent="0.25">
      <c r="B43" s="104" t="s">
        <v>0</v>
      </c>
      <c r="C43" s="104" t="s">
        <v>4</v>
      </c>
      <c r="D43" s="104" t="s">
        <v>3</v>
      </c>
      <c r="E43" s="104" t="s">
        <v>7</v>
      </c>
      <c r="F43" s="104" t="s">
        <v>6</v>
      </c>
      <c r="G43" s="104" t="s">
        <v>8</v>
      </c>
      <c r="H43" s="104" t="s">
        <v>16</v>
      </c>
      <c r="I43" s="104" t="s">
        <v>4</v>
      </c>
      <c r="J43" s="104" t="s">
        <v>3</v>
      </c>
      <c r="K43" s="104" t="s">
        <v>17</v>
      </c>
      <c r="L43" s="104" t="s">
        <v>7</v>
      </c>
      <c r="M43" s="104" t="s">
        <v>6</v>
      </c>
      <c r="N43" s="104" t="s">
        <v>51</v>
      </c>
      <c r="O43" s="104" t="s">
        <v>18</v>
      </c>
      <c r="P43" s="104" t="s">
        <v>19</v>
      </c>
      <c r="Q43" s="104" t="s">
        <v>25</v>
      </c>
    </row>
    <row r="44" spans="2:17" s="99" customFormat="1" x14ac:dyDescent="0.25">
      <c r="B44" s="116" t="str">
        <f>FMX!C8</f>
        <v>Interior NATURE &amp; MATERIAL, FH/FH, черная сердцевина, 12 мм</v>
      </c>
      <c r="C44" s="99">
        <f>IF(FMX!C8=B25,B27,IF(FMX!C8=C25,C27,IF(FMX!C8=D25,D27,IF(FMX!C8=E25,E27,IF(FMX!C8=F25,F27,IF(FMX!C8=G25,G27,0))))))</f>
        <v>1300</v>
      </c>
      <c r="D44" s="99">
        <v>4100</v>
      </c>
      <c r="E44" s="99">
        <f>(C44*D44)/1000000</f>
        <v>5.33</v>
      </c>
      <c r="F44" s="99">
        <f>(C44+D44)*2/1000</f>
        <v>10.8</v>
      </c>
      <c r="G44" s="103">
        <f>IF(FMX!C8=B25,B28,IF(FMX!C8=C25,C28,IF(FMX!C8=D25,D28,IF(FMX!C8=E25,E28,IF(FMX!C8=F25,F28,IF(FMX!C8=G25,G28,0))))))</f>
        <v>104.64</v>
      </c>
      <c r="H44" s="103">
        <f>E44*G44</f>
        <v>557.73120000000006</v>
      </c>
      <c r="I44" s="99">
        <f>IF(FMX!D12&lt;L6,0,IF(FMX!D12&lt;=M6,FMX!D12,0))</f>
        <v>1000</v>
      </c>
      <c r="J44" s="99">
        <f>IF(FMX!C12&lt;N6,0,IF(FMX!C12&lt;=O6,FMX!C12,0))</f>
        <v>1000</v>
      </c>
      <c r="K44" s="101">
        <f>IF(I44=0,0,IF(J44=0,0,(ROUNDDOWN(C44/(I44+6),0))*(ROUNDDOWN(D44/(J44+6),0))))</f>
        <v>4</v>
      </c>
      <c r="L44" s="99">
        <f>(I44*J44)*K44/1000000</f>
        <v>4</v>
      </c>
      <c r="M44" s="99">
        <f>(I44+J44)*2*K44/1000</f>
        <v>16</v>
      </c>
      <c r="N44" s="117">
        <v>12</v>
      </c>
      <c r="O44" s="103">
        <f>M44*N44</f>
        <v>192</v>
      </c>
      <c r="P44" s="117">
        <f>IF(I44=0,0,IF(J44=0,0,IF(K44=0,0,ROUNDUP((H44+O44)/K44,0))))</f>
        <v>188</v>
      </c>
      <c r="Q44" s="103">
        <f>IF(I44=0,0,IF(J44=0,0,ROUNDUP((G44*I44*J44/1000000)+(I44+J44)*2*N44/1000,0)))</f>
        <v>153</v>
      </c>
    </row>
    <row r="45" spans="2:17" s="99" customFormat="1" x14ac:dyDescent="0.25">
      <c r="B45" s="116"/>
      <c r="C45" s="99">
        <f>IF(FMX!C8=B25,B27,IF(FMX!C8=C25,C27,IF(FMX!C8=D25,D27,IF(FMX!C8=E25,E27,IF(FMX!C8=F25,F27,IF(FMX!C8=G25,G27,0))))))</f>
        <v>1300</v>
      </c>
      <c r="D45" s="99">
        <v>4100</v>
      </c>
      <c r="E45" s="99">
        <f t="shared" ref="E45:E48" si="19">(C45*D45)/1000000</f>
        <v>5.33</v>
      </c>
      <c r="F45" s="99">
        <f t="shared" ref="F45:F48" si="20">(C45+D45)*2/1000</f>
        <v>10.8</v>
      </c>
      <c r="G45" s="103">
        <f>IF(FMX!C8=B25,B28,IF(FMX!C8=C25,C28,IF(FMX!C8=D25,D28,IF(FMX!C8=E25,E28,IF(FMX!C8=F25,F28,IF(FMX!C8=G25,G28,0))))))</f>
        <v>104.64</v>
      </c>
      <c r="H45" s="103">
        <f t="shared" ref="H45:H48" si="21">E45*G45</f>
        <v>557.73120000000006</v>
      </c>
      <c r="I45" s="99">
        <f>IF(FMX!D13&lt;L6,0,IF(FMX!D13&lt;=M6,FMX!D13,0))</f>
        <v>0</v>
      </c>
      <c r="J45" s="99">
        <f>IF(FMX!C13&lt;N6,0,IF(FMX!C13&lt;=O6,FMX!C13,0))</f>
        <v>0</v>
      </c>
      <c r="K45" s="101">
        <f t="shared" ref="K45:K48" si="22">IF(I45=0,0,IF(J45=0,0,(ROUNDDOWN(C45/(I45+6),0))*(ROUNDDOWN(D45/(J45+6),0))))</f>
        <v>0</v>
      </c>
      <c r="L45" s="99">
        <f t="shared" ref="L45:L48" si="23">(I45*J45)*K45/1000000</f>
        <v>0</v>
      </c>
      <c r="M45" s="99">
        <f t="shared" ref="M45:M48" si="24">(I45+J45)*2*K45/1000</f>
        <v>0</v>
      </c>
      <c r="N45" s="117">
        <v>12</v>
      </c>
      <c r="O45" s="103">
        <f t="shared" ref="O45:O48" si="25">M45*N45</f>
        <v>0</v>
      </c>
      <c r="P45" s="117">
        <f t="shared" ref="P45:P48" si="26">IF(I45=0,0,IF(J45=0,0,IF(K45=0,0,ROUNDUP((H45+O45)/K45,0))))</f>
        <v>0</v>
      </c>
      <c r="Q45" s="103">
        <f t="shared" ref="Q45:Q48" si="27">IF(I45=0,0,IF(J45=0,0,ROUNDUP((G45*I45*J45/1000000)+(I45+J45)*2*N45/1000,0)))</f>
        <v>0</v>
      </c>
    </row>
    <row r="46" spans="2:17" s="99" customFormat="1" x14ac:dyDescent="0.25">
      <c r="B46" s="116"/>
      <c r="C46" s="99">
        <f>IF(FMX!C8=B25,B27,IF(FMX!C8=C25,C27,IF(FMX!C8=D25,D27,IF(FMX!C8=E25,E27,IF(FMX!C8=F25,F27,IF(FMX!C8=G25,G27,0))))))</f>
        <v>1300</v>
      </c>
      <c r="D46" s="99">
        <v>4100</v>
      </c>
      <c r="E46" s="99">
        <f t="shared" si="19"/>
        <v>5.33</v>
      </c>
      <c r="F46" s="99">
        <f t="shared" si="20"/>
        <v>10.8</v>
      </c>
      <c r="G46" s="103">
        <f>IF(FMX!C8=B25,B28,IF(FMX!C8=C25,C28,IF(FMX!C8=D25,D28,IF(FMX!C8=E25,E28,IF(FMX!C8=F25,F28,IF(FMX!C8=G25,G28,0))))))</f>
        <v>104.64</v>
      </c>
      <c r="H46" s="103">
        <f t="shared" si="21"/>
        <v>557.73120000000006</v>
      </c>
      <c r="I46" s="99">
        <f>IF(FMX!D14&lt;L6,0,IF(FMX!D14&lt;=M6,FMX!D14,0))</f>
        <v>610</v>
      </c>
      <c r="J46" s="99">
        <f>IF(FMX!C14&lt;N6,0,IF(FMX!C14&lt;=O6,FMX!C14,0))</f>
        <v>680</v>
      </c>
      <c r="K46" s="101">
        <f t="shared" si="22"/>
        <v>10</v>
      </c>
      <c r="L46" s="99">
        <f t="shared" si="23"/>
        <v>4.1479999999999997</v>
      </c>
      <c r="M46" s="99">
        <f t="shared" si="24"/>
        <v>25.8</v>
      </c>
      <c r="N46" s="117">
        <v>12</v>
      </c>
      <c r="O46" s="103">
        <f t="shared" si="25"/>
        <v>309.60000000000002</v>
      </c>
      <c r="P46" s="117">
        <f t="shared" si="26"/>
        <v>87</v>
      </c>
      <c r="Q46" s="103">
        <f t="shared" si="27"/>
        <v>75</v>
      </c>
    </row>
    <row r="47" spans="2:17" s="99" customFormat="1" x14ac:dyDescent="0.25">
      <c r="B47" s="116"/>
      <c r="C47" s="99">
        <f>IF(FMX!C8=B25,B27,IF(FMX!C8=C25,C27,IF(FMX!C8=D25,D27,IF(FMX!C8=E25,E27,IF(FMX!C8=F25,F27,IF(FMX!C8=G25,G27,0))))))</f>
        <v>1300</v>
      </c>
      <c r="D47" s="99">
        <v>4100</v>
      </c>
      <c r="E47" s="99">
        <f t="shared" si="19"/>
        <v>5.33</v>
      </c>
      <c r="F47" s="99">
        <f t="shared" si="20"/>
        <v>10.8</v>
      </c>
      <c r="G47" s="103">
        <f>IF(FMX!C8=B25,B28,IF(FMX!C8=C25,C28,IF(FMX!C8=D25,D28,IF(FMX!C8=E25,E28,IF(FMX!C8=F25,F28,IF(FMX!C8=G25,G28,0))))))</f>
        <v>104.64</v>
      </c>
      <c r="H47" s="103">
        <f t="shared" si="21"/>
        <v>557.73120000000006</v>
      </c>
      <c r="I47" s="99">
        <f>IF(FMX!D15&lt;L6,0,IF(FMX!D15&lt;=M6,FMX!D15,0))</f>
        <v>0</v>
      </c>
      <c r="J47" s="99">
        <f>IF(FMX!C15&lt;N6,0,IF(FMX!C15&lt;=O6,FMX!C15,0))</f>
        <v>0</v>
      </c>
      <c r="K47" s="101">
        <f t="shared" si="22"/>
        <v>0</v>
      </c>
      <c r="L47" s="99">
        <f t="shared" si="23"/>
        <v>0</v>
      </c>
      <c r="M47" s="99">
        <f t="shared" si="24"/>
        <v>0</v>
      </c>
      <c r="N47" s="117">
        <v>12</v>
      </c>
      <c r="O47" s="103">
        <f t="shared" si="25"/>
        <v>0</v>
      </c>
      <c r="P47" s="117">
        <f t="shared" si="26"/>
        <v>0</v>
      </c>
      <c r="Q47" s="103">
        <f t="shared" si="27"/>
        <v>0</v>
      </c>
    </row>
    <row r="48" spans="2:17" s="99" customFormat="1" x14ac:dyDescent="0.25">
      <c r="B48" s="116"/>
      <c r="C48" s="99">
        <f>IF(FMX!C8=B25,B27,IF(FMX!C8=C25,C27,IF(FMX!C8=D25,D27,IF(FMX!C8=E25,E27,IF(FMX!C8=F25,F27,IF(FMX!C8=G25,G27,0))))))</f>
        <v>1300</v>
      </c>
      <c r="D48" s="99">
        <v>4100</v>
      </c>
      <c r="E48" s="99">
        <f t="shared" si="19"/>
        <v>5.33</v>
      </c>
      <c r="F48" s="99">
        <f t="shared" si="20"/>
        <v>10.8</v>
      </c>
      <c r="G48" s="103">
        <f>IF(FMX!C8=B25,B28,IF(FMX!C8=C25,C28,IF(FMX!C8=D25,D28,IF(FMX!C8=E25,E28,IF(FMX!C8=F25,F28,IF(FMX!C8=G25,G28,0))))))</f>
        <v>104.64</v>
      </c>
      <c r="H48" s="103">
        <f t="shared" si="21"/>
        <v>557.73120000000006</v>
      </c>
      <c r="I48" s="99">
        <f>IF(FMX!D16&lt;L6,0,IF(FMX!D16&lt;=M6,FMX!D16,0))</f>
        <v>0</v>
      </c>
      <c r="J48" s="99">
        <f>IF(FMX!C16&lt;N6,0,IF(FMX!C16&lt;=O6,FMX!C16,0))</f>
        <v>0</v>
      </c>
      <c r="K48" s="101">
        <f t="shared" si="22"/>
        <v>0</v>
      </c>
      <c r="L48" s="99">
        <f t="shared" si="23"/>
        <v>0</v>
      </c>
      <c r="M48" s="99">
        <f t="shared" si="24"/>
        <v>0</v>
      </c>
      <c r="N48" s="117">
        <v>12</v>
      </c>
      <c r="O48" s="103">
        <f t="shared" si="25"/>
        <v>0</v>
      </c>
      <c r="P48" s="117">
        <f t="shared" si="26"/>
        <v>0</v>
      </c>
      <c r="Q48" s="103">
        <f t="shared" si="27"/>
        <v>0</v>
      </c>
    </row>
    <row r="49" spans="4:17" s="99" customFormat="1" x14ac:dyDescent="0.25">
      <c r="Q49" s="103"/>
    </row>
    <row r="50" spans="4:17" s="99" customFormat="1" x14ac:dyDescent="0.25">
      <c r="Q50" s="103"/>
    </row>
    <row r="51" spans="4:17" s="99" customFormat="1" x14ac:dyDescent="0.25">
      <c r="D51" s="100" t="s">
        <v>55</v>
      </c>
      <c r="E51" s="100"/>
      <c r="F51" s="100"/>
      <c r="G51" s="100"/>
      <c r="H51" s="100"/>
      <c r="I51" s="100"/>
      <c r="J51" s="100"/>
      <c r="K51" s="102"/>
      <c r="L51" s="102"/>
    </row>
    <row r="52" spans="4:17" s="111" customFormat="1" ht="30" x14ac:dyDescent="0.25">
      <c r="D52" s="104" t="s">
        <v>0</v>
      </c>
      <c r="E52" s="104" t="s">
        <v>2</v>
      </c>
      <c r="F52" s="104" t="s">
        <v>4</v>
      </c>
      <c r="G52" s="104" t="s">
        <v>3</v>
      </c>
      <c r="H52" s="104" t="s">
        <v>7</v>
      </c>
      <c r="I52" s="104" t="s">
        <v>6</v>
      </c>
      <c r="J52" s="104" t="s">
        <v>8</v>
      </c>
      <c r="K52" s="104" t="s">
        <v>50</v>
      </c>
      <c r="L52" s="104" t="s">
        <v>19</v>
      </c>
    </row>
    <row r="53" spans="4:17" s="99" customFormat="1" ht="15.95" customHeight="1" x14ac:dyDescent="0.25">
      <c r="D53" s="116" t="str">
        <f>FMX!C8</f>
        <v>Interior NATURE &amp; MATERIAL, FH/FH, черная сердцевина, 12 мм</v>
      </c>
      <c r="E53" s="101">
        <v>1</v>
      </c>
      <c r="F53" s="99">
        <f>IF(FMX!D12&lt;L7,0,IF(FMX!D12&lt;M7,FMX!D12,0))</f>
        <v>0</v>
      </c>
      <c r="G53" s="99">
        <f>IF(FMX!C12&lt;=N7,N7,IF(FMX!C12&lt;=D2,684,IF(FMX!C12&lt;=E2,1368,IF(FMX!C12&lt;=F2,2052,IF(FMX!C12&lt;=G2,2736,IF(FMX!C12&lt;=H2,3420,IF(FMX!C12&lt;=I2,4100,0)))))))</f>
        <v>1360</v>
      </c>
      <c r="H53" s="99">
        <f>(F53*G53)/1000000</f>
        <v>0</v>
      </c>
      <c r="I53" s="99">
        <f>IF(F53=0,0,IF(G53=0,0,(F53+G53)*2/1000))</f>
        <v>0</v>
      </c>
      <c r="J53" s="103">
        <f>IF(FMX!C8=B25,B28,IF(FMX!C8=C25,C28,IF(FMX!C8=D25,D28,IF(FMX!C8=E25,E28,IF(FMX!C8=F25,F28,IF(FMX!C8=G25,G28,0))))))</f>
        <v>104.64</v>
      </c>
      <c r="K53" s="117">
        <v>12</v>
      </c>
      <c r="L53" s="117">
        <f>ROUNDUP((H53*J53)+(I53*K53),0)</f>
        <v>0</v>
      </c>
    </row>
    <row r="54" spans="4:17" s="99" customFormat="1" ht="15.95" customHeight="1" x14ac:dyDescent="0.25">
      <c r="D54" s="116"/>
      <c r="E54" s="101">
        <v>2</v>
      </c>
      <c r="F54" s="99">
        <f>IF(FMX!D13&lt;L7,0,IF(FMX!D13&lt;M7,FMX!D13,0))</f>
        <v>50</v>
      </c>
      <c r="G54" s="99">
        <f>IF(FMX!C13&lt;=N7,N7,IF(FMX!C13&lt;=D2,684,IF(FMX!C13&lt;=E2,1368,IF(FMX!C13&lt;=F2,2052,IF(FMX!C13&lt;=G2,2736,IF(FMX!C13&lt;=H2,3420,IF(FMX!C13&lt;=I2,4100,0)))))))</f>
        <v>1360</v>
      </c>
      <c r="H54" s="99">
        <f t="shared" ref="H54:H57" si="28">(F54*G54)/1000000</f>
        <v>6.8000000000000005E-2</v>
      </c>
      <c r="I54" s="99">
        <f t="shared" ref="I54:I57" si="29">IF(F54=0,0,IF(G54=0,0,(F54+G54)*2/1000))</f>
        <v>2.82</v>
      </c>
      <c r="J54" s="103">
        <f>IF(FMX!C8=B25,B28,IF(FMX!C8=C25,C28,IF(FMX!C8=D25,D28,IF(FMX!C8=E25,E28,IF(FMX!C8=F25,F28,IF(FMX!C8=G25,G28,0))))))</f>
        <v>104.64</v>
      </c>
      <c r="K54" s="117">
        <v>12</v>
      </c>
      <c r="L54" s="117">
        <f t="shared" ref="L54:L57" si="30">ROUNDUP((H54*J54)+(I54*K54),0)</f>
        <v>41</v>
      </c>
    </row>
    <row r="55" spans="4:17" s="99" customFormat="1" ht="15.95" customHeight="1" x14ac:dyDescent="0.25">
      <c r="D55" s="116"/>
      <c r="E55" s="101">
        <v>3</v>
      </c>
      <c r="F55" s="99">
        <f>IF(FMX!D14&lt;L7,0,IF(FMX!D14&lt;M7,FMX!D14,0))</f>
        <v>0</v>
      </c>
      <c r="G55" s="99">
        <f>IF(FMX!C14&lt;=N7,N7,IF(FMX!C14&lt;=D2,684,IF(FMX!C14&lt;=E2,1368,IF(FMX!C14&lt;=F2,2052,IF(FMX!C14&lt;=G2,2736,IF(FMX!C14&lt;=H2,3420,IF(FMX!C14&lt;=I2,4100,0)))))))</f>
        <v>1360</v>
      </c>
      <c r="H55" s="99">
        <f t="shared" si="28"/>
        <v>0</v>
      </c>
      <c r="I55" s="99">
        <f t="shared" si="29"/>
        <v>0</v>
      </c>
      <c r="J55" s="103">
        <f>IF(FMX!C8=B25,B28,IF(FMX!C8=C25,C28,IF(FMX!C8=D25,D28,IF(FMX!C8=E25,E28,IF(FMX!C8=F25,F28,IF(FMX!C8=G25,G28,0))))))</f>
        <v>104.64</v>
      </c>
      <c r="K55" s="117">
        <v>12</v>
      </c>
      <c r="L55" s="117">
        <f t="shared" si="30"/>
        <v>0</v>
      </c>
    </row>
    <row r="56" spans="4:17" s="99" customFormat="1" ht="15.95" customHeight="1" x14ac:dyDescent="0.25">
      <c r="D56" s="116"/>
      <c r="E56" s="101">
        <v>4</v>
      </c>
      <c r="F56" s="99">
        <f>IF(FMX!D15&lt;L7,0,IF(FMX!D15&lt;M7,FMX!D15,0))</f>
        <v>0</v>
      </c>
      <c r="G56" s="99">
        <f>IF(FMX!C15&lt;=N7,N7,IF(FMX!C15&lt;=D2,684,IF(FMX!C15&lt;=E2,1368,IF(FMX!C15&lt;=F2,2052,IF(FMX!C15&lt;=G2,2736,IF(FMX!C15&lt;=H2,3420,IF(FMX!C15&lt;=I2,4100,0)))))))</f>
        <v>1360</v>
      </c>
      <c r="H56" s="99">
        <f t="shared" si="28"/>
        <v>0</v>
      </c>
      <c r="I56" s="99">
        <f t="shared" si="29"/>
        <v>0</v>
      </c>
      <c r="J56" s="103">
        <f>IF(FMX!C8=B25,B28,IF(FMX!C8=C25,C28,IF(FMX!C8=D25,D28,IF(FMX!C8=E25,E28,IF(FMX!C8=F25,F28,IF(FMX!C8=G25,G28,0))))))</f>
        <v>104.64</v>
      </c>
      <c r="K56" s="117">
        <v>12</v>
      </c>
      <c r="L56" s="117">
        <f t="shared" si="30"/>
        <v>0</v>
      </c>
    </row>
    <row r="57" spans="4:17" s="99" customFormat="1" ht="15.95" customHeight="1" x14ac:dyDescent="0.25">
      <c r="D57" s="116"/>
      <c r="E57" s="101">
        <v>5</v>
      </c>
      <c r="F57" s="99">
        <f>IF(FMX!D16&lt;L7,0,IF(FMX!D16&lt;M7,FMX!D16,0))</f>
        <v>0</v>
      </c>
      <c r="G57" s="99">
        <f>IF(FMX!C16&lt;=N7,N7,IF(FMX!C16&lt;=D2,684,IF(FMX!C16&lt;=E2,1368,IF(FMX!C16&lt;=F2,2052,IF(FMX!C16&lt;=G2,2736,IF(FMX!C16&lt;=H2,3420,IF(FMX!C16&lt;=I2,4100,0)))))))</f>
        <v>1360</v>
      </c>
      <c r="H57" s="99">
        <f t="shared" si="28"/>
        <v>0</v>
      </c>
      <c r="I57" s="99">
        <f t="shared" si="29"/>
        <v>0</v>
      </c>
      <c r="J57" s="103">
        <f>IF(FMX!C8=B25,B28,IF(FMX!C8=C25,C28,IF(FMX!C8=D25,D28,IF(FMX!C8=E25,E28,IF(FMX!C8=F25,F28,IF(FMX!C8=G25,G28,0))))))</f>
        <v>104.64</v>
      </c>
      <c r="K57" s="117">
        <v>12</v>
      </c>
      <c r="L57" s="117">
        <f t="shared" si="30"/>
        <v>0</v>
      </c>
    </row>
    <row r="58" spans="4:17" s="99" customFormat="1" x14ac:dyDescent="0.25"/>
    <row r="59" spans="4:17" s="99" customFormat="1" x14ac:dyDescent="0.25"/>
    <row r="60" spans="4:17" s="99" customFormat="1" x14ac:dyDescent="0.25"/>
  </sheetData>
  <sheetProtection algorithmName="SHA-512" hashValue="4WUQlfWUHT8h270MBDZIJT/E1289yd8fFlV6SA0piVNMqkC+JbQ3lvEHrl1PhcqJN2jytZqY0IX0RPxzXMSj3A==" saltValue="88nMIpCEi/Vr4M+opu7ELg==" spinCount="100000" sheet="1" selectLockedCells="1" selectUnlockedCells="1"/>
  <protectedRanges>
    <protectedRange sqref="O25" name="Диапазон9"/>
    <protectedRange sqref="K53:K57" name="Диапазон7"/>
    <protectedRange sqref="D2:I2" name="Диапазон1"/>
    <protectedRange sqref="C3:C7" name="Диапазон2"/>
    <protectedRange sqref="B24:G27" name="Диапазон3"/>
    <protectedRange sqref="N35:N39" name="Диапазон4"/>
    <protectedRange sqref="N44:N48" name="Диапазон5"/>
    <protectedRange sqref="L4:O7" name="Диапазон6"/>
    <protectedRange sqref="N25" name="Диапазон8"/>
    <protectedRange sqref="O26" name="Диапазон10"/>
    <protectedRange sqref="G28" name="Диапазон3_1"/>
    <protectedRange sqref="B28:F28" name="Диапазон3_1_1"/>
  </protectedRanges>
  <mergeCells count="18">
    <mergeCell ref="B1:I1"/>
    <mergeCell ref="K1:O1"/>
    <mergeCell ref="L2:M2"/>
    <mergeCell ref="N2:O2"/>
    <mergeCell ref="K2:K3"/>
    <mergeCell ref="B3:B5"/>
    <mergeCell ref="D53:D57"/>
    <mergeCell ref="D51:L51"/>
    <mergeCell ref="B35:B39"/>
    <mergeCell ref="B6:B7"/>
    <mergeCell ref="B44:B48"/>
    <mergeCell ref="B42:P42"/>
    <mergeCell ref="B10:G10"/>
    <mergeCell ref="B29:G29"/>
    <mergeCell ref="B30:G30"/>
    <mergeCell ref="P10:U10"/>
    <mergeCell ref="B33:P33"/>
    <mergeCell ref="I10:N10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3"/>
  <sheetViews>
    <sheetView showGridLines="0" zoomScaleNormal="100" workbookViewId="0">
      <selection activeCell="D12" sqref="D12"/>
    </sheetView>
  </sheetViews>
  <sheetFormatPr defaultRowHeight="16.5" x14ac:dyDescent="0.3"/>
  <cols>
    <col min="1" max="1" width="9.140625" style="54"/>
    <col min="2" max="2" width="26.42578125" style="54" customWidth="1"/>
    <col min="3" max="3" width="16.28515625" style="54" customWidth="1"/>
    <col min="4" max="16384" width="9.140625" style="54"/>
  </cols>
  <sheetData>
    <row r="2" spans="2:3" ht="17.25" thickBot="1" x14ac:dyDescent="0.35"/>
    <row r="3" spans="2:3" s="57" customFormat="1" ht="21.75" customHeight="1" thickBot="1" x14ac:dyDescent="0.3">
      <c r="B3" s="55" t="s">
        <v>97</v>
      </c>
      <c r="C3" s="56">
        <v>1</v>
      </c>
    </row>
  </sheetData>
  <protectedRanges>
    <protectedRange sqref="C3" name="Диапазон1"/>
  </protectedRange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2"/>
  <sheetViews>
    <sheetView showGridLines="0" zoomScaleNormal="100" workbookViewId="0">
      <selection activeCell="K12" sqref="K12"/>
    </sheetView>
  </sheetViews>
  <sheetFormatPr defaultRowHeight="16.5" x14ac:dyDescent="0.3"/>
  <cols>
    <col min="1" max="1" width="9.140625" style="54"/>
    <col min="2" max="2" width="33.5703125" style="54" customWidth="1"/>
    <col min="3" max="3" width="10.7109375" style="54" customWidth="1"/>
    <col min="4" max="16384" width="9.140625" style="54"/>
  </cols>
  <sheetData>
    <row r="1" spans="2:3" ht="24.95" customHeight="1" thickBot="1" x14ac:dyDescent="0.35"/>
    <row r="2" spans="2:3" ht="24.95" customHeight="1" thickBot="1" x14ac:dyDescent="0.35">
      <c r="B2" s="55" t="s">
        <v>98</v>
      </c>
      <c r="C2" s="56">
        <v>1</v>
      </c>
    </row>
  </sheetData>
  <protectedRanges>
    <protectedRange sqref="C2" name="Диапазон1"/>
  </protectedRange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FMX</vt:lpstr>
      <vt:lpstr>ДАТ</vt:lpstr>
      <vt:lpstr>Коэфф. салон</vt:lpstr>
      <vt:lpstr>Коэфф. фабрика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</dc:creator>
  <cp:lastModifiedBy>user</cp:lastModifiedBy>
  <dcterms:created xsi:type="dcterms:W3CDTF">2015-06-05T18:19:34Z</dcterms:created>
  <dcterms:modified xsi:type="dcterms:W3CDTF">2025-01-20T09:26:36Z</dcterms:modified>
</cp:coreProperties>
</file>