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F1A2699A-D6D1-4299-A308-C58E1CF2C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Цены" sheetId="4" r:id="rId2"/>
    <sheet name="Лист3" sheetId="3" r:id="rId3"/>
  </sheets>
  <definedNames>
    <definedName name="_xlnm.Print_Area" localSheetId="0">Лист1!$A$1:$I$222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9" i="1" l="1"/>
  <c r="D111" i="1"/>
  <c r="D112" i="1"/>
  <c r="D113" i="1"/>
  <c r="D114" i="1"/>
  <c r="D115" i="1"/>
  <c r="D116" i="1"/>
  <c r="D117" i="1"/>
  <c r="D118" i="1"/>
  <c r="D110" i="1"/>
  <c r="D109" i="1"/>
  <c r="D40" i="1"/>
  <c r="D39" i="1"/>
  <c r="D38" i="1"/>
  <c r="D37" i="1"/>
  <c r="D36" i="1"/>
  <c r="F69" i="1"/>
  <c r="E69" i="1"/>
  <c r="F64" i="1"/>
  <c r="F65" i="1"/>
  <c r="F66" i="1"/>
  <c r="F67" i="1"/>
  <c r="F68" i="1"/>
  <c r="F70" i="1"/>
  <c r="E64" i="1"/>
  <c r="E65" i="1"/>
  <c r="E66" i="1"/>
  <c r="E67" i="1"/>
  <c r="E68" i="1"/>
  <c r="E70" i="1"/>
  <c r="F63" i="1"/>
  <c r="E63" i="1"/>
  <c r="H62" i="1" l="1"/>
  <c r="G62" i="1"/>
  <c r="H97" i="1" l="1"/>
  <c r="H68" i="4"/>
  <c r="E93" i="1"/>
  <c r="F64" i="4"/>
  <c r="E64" i="4"/>
  <c r="F93" i="1" l="1"/>
  <c r="G139" i="1"/>
  <c r="F139" i="1"/>
  <c r="G138" i="1"/>
  <c r="F138" i="1"/>
  <c r="F203" i="1"/>
  <c r="F202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4" i="1"/>
  <c r="F186" i="1"/>
  <c r="E139" i="1" l="1"/>
  <c r="G51" i="1"/>
  <c r="G50" i="1"/>
  <c r="F51" i="1"/>
  <c r="F50" i="1"/>
  <c r="G149" i="1"/>
  <c r="E149" i="1"/>
  <c r="F149" i="1"/>
  <c r="E138" i="1"/>
  <c r="E51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E50" i="1"/>
  <c r="E115" i="1"/>
  <c r="E119" i="1"/>
  <c r="E39" i="1"/>
  <c r="F39" i="4"/>
  <c r="E39" i="4"/>
  <c r="G27" i="1"/>
  <c r="H27" i="4"/>
  <c r="E106" i="4"/>
  <c r="E97" i="4"/>
  <c r="E88" i="4"/>
  <c r="D88" i="4" s="1"/>
  <c r="E87" i="4"/>
  <c r="D87" i="4" s="1"/>
  <c r="E86" i="4"/>
  <c r="D86" i="4" s="1"/>
  <c r="E85" i="4"/>
  <c r="D85" i="4"/>
  <c r="E84" i="4"/>
  <c r="D84" i="4" s="1"/>
  <c r="E83" i="4"/>
  <c r="D83" i="4" s="1"/>
  <c r="E82" i="4"/>
  <c r="D82" i="4" s="1"/>
  <c r="E81" i="4"/>
  <c r="D81" i="4" s="1"/>
  <c r="E80" i="4"/>
  <c r="D80" i="4" s="1"/>
  <c r="F71" i="4"/>
  <c r="E71" i="4"/>
  <c r="H70" i="4"/>
  <c r="G70" i="4"/>
  <c r="F69" i="4"/>
  <c r="E69" i="4"/>
  <c r="F67" i="4"/>
  <c r="E67" i="4"/>
  <c r="F66" i="4"/>
  <c r="E66" i="4"/>
  <c r="F65" i="4"/>
  <c r="E65" i="4"/>
  <c r="F63" i="4"/>
  <c r="E63" i="4"/>
  <c r="H54" i="4"/>
  <c r="G54" i="4"/>
  <c r="F54" i="4"/>
  <c r="E54" i="4"/>
  <c r="F53" i="4"/>
  <c r="E53" i="4"/>
  <c r="F52" i="4"/>
  <c r="E52" i="4"/>
  <c r="F51" i="4"/>
  <c r="E51" i="4"/>
  <c r="F50" i="4"/>
  <c r="E50" i="4"/>
  <c r="F38" i="4"/>
  <c r="E38" i="4"/>
  <c r="F37" i="4"/>
  <c r="E37" i="4"/>
  <c r="F36" i="4"/>
  <c r="E36" i="4"/>
  <c r="F26" i="4"/>
  <c r="E26" i="4"/>
  <c r="F25" i="4"/>
  <c r="E25" i="4"/>
  <c r="F24" i="4"/>
  <c r="E24" i="4"/>
  <c r="F23" i="4"/>
  <c r="E23" i="4"/>
  <c r="E172" i="1"/>
  <c r="H27" i="1" l="1"/>
  <c r="F39" i="1"/>
  <c r="G27" i="4"/>
  <c r="E110" i="1"/>
  <c r="E111" i="1"/>
  <c r="E112" i="1"/>
  <c r="E113" i="1"/>
  <c r="E114" i="1"/>
  <c r="E116" i="1"/>
  <c r="E117" i="1"/>
  <c r="E118" i="1"/>
  <c r="E109" i="1"/>
  <c r="F26" i="1"/>
  <c r="F100" i="1"/>
  <c r="F98" i="1"/>
  <c r="F96" i="1"/>
  <c r="F95" i="1"/>
  <c r="F94" i="1"/>
  <c r="F92" i="1"/>
  <c r="H83" i="1"/>
  <c r="F83" i="1"/>
  <c r="F82" i="1"/>
  <c r="F81" i="1"/>
  <c r="F80" i="1"/>
  <c r="F79" i="1"/>
  <c r="F38" i="1"/>
  <c r="F37" i="1"/>
  <c r="F36" i="1"/>
  <c r="F25" i="1"/>
  <c r="F24" i="1"/>
  <c r="F23" i="1"/>
  <c r="E77" i="3" l="1"/>
  <c r="D77" i="3"/>
  <c r="C68" i="3"/>
  <c r="D68" i="3" s="1"/>
  <c r="E68" i="3" s="1"/>
  <c r="C67" i="3"/>
  <c r="C66" i="3"/>
  <c r="D66" i="3" s="1"/>
  <c r="C65" i="3"/>
  <c r="C64" i="3"/>
  <c r="D50" i="3"/>
  <c r="E50" i="3" s="1"/>
  <c r="D51" i="3"/>
  <c r="F51" i="3" s="1"/>
  <c r="D52" i="3"/>
  <c r="D53" i="3"/>
  <c r="D54" i="3"/>
  <c r="G54" i="3" s="1"/>
  <c r="D55" i="3"/>
  <c r="D49" i="3"/>
  <c r="C24" i="3"/>
  <c r="D24" i="3" s="1"/>
  <c r="C23" i="3"/>
  <c r="D23" i="3" s="1"/>
  <c r="C22" i="3"/>
  <c r="D22" i="3" s="1"/>
  <c r="C13" i="3"/>
  <c r="D13" i="3" s="1"/>
  <c r="F13" i="3" s="1"/>
  <c r="C12" i="3"/>
  <c r="D12" i="3" s="1"/>
  <c r="C11" i="3"/>
  <c r="D11" i="3" s="1"/>
  <c r="C10" i="3"/>
  <c r="D10" i="3" s="1"/>
  <c r="C9" i="3"/>
  <c r="D9" i="3" s="1"/>
  <c r="D36" i="3"/>
  <c r="F36" i="3" s="1"/>
  <c r="D37" i="3"/>
  <c r="F37" i="3" s="1"/>
  <c r="D38" i="3"/>
  <c r="D39" i="3"/>
  <c r="G39" i="3" s="1"/>
  <c r="D40" i="3"/>
  <c r="D35" i="3"/>
  <c r="F35" i="3" s="1"/>
  <c r="E38" i="3"/>
  <c r="E128" i="1" l="1"/>
  <c r="H54" i="3"/>
  <c r="E51" i="3"/>
  <c r="F55" i="3"/>
  <c r="G40" i="3"/>
  <c r="F50" i="3"/>
  <c r="D64" i="3"/>
  <c r="F22" i="3"/>
  <c r="E66" i="3"/>
  <c r="G12" i="3"/>
  <c r="F9" i="3"/>
  <c r="E9" i="3"/>
  <c r="F10" i="3"/>
  <c r="D65" i="3"/>
  <c r="E49" i="3"/>
  <c r="E35" i="3"/>
  <c r="F49" i="3"/>
  <c r="E52" i="3"/>
  <c r="E64" i="3"/>
  <c r="D67" i="3"/>
  <c r="E37" i="3"/>
  <c r="E24" i="3"/>
  <c r="E23" i="3"/>
  <c r="F23" i="3"/>
  <c r="H39" i="3"/>
  <c r="E39" i="3"/>
  <c r="F39" i="3"/>
  <c r="E53" i="3"/>
  <c r="E13" i="3"/>
  <c r="F53" i="3"/>
  <c r="E55" i="3"/>
  <c r="H12" i="3"/>
  <c r="F24" i="3"/>
  <c r="F38" i="3"/>
  <c r="H40" i="3"/>
  <c r="F52" i="3"/>
  <c r="E10" i="3"/>
  <c r="E22" i="3"/>
  <c r="E36" i="3"/>
  <c r="E25" i="1"/>
  <c r="E65" i="3" l="1"/>
  <c r="E67" i="3"/>
  <c r="F11" i="3"/>
  <c r="E11" i="3"/>
  <c r="E100" i="1" l="1"/>
  <c r="E38" i="1" l="1"/>
  <c r="E37" i="1"/>
  <c r="E36" i="1"/>
  <c r="E92" i="1"/>
  <c r="E95" i="1"/>
  <c r="G99" i="1"/>
  <c r="E94" i="1"/>
  <c r="E98" i="1"/>
  <c r="E96" i="1"/>
  <c r="E81" i="1"/>
  <c r="E82" i="1"/>
  <c r="E79" i="1"/>
  <c r="G83" i="1"/>
  <c r="E83" i="1"/>
  <c r="E80" i="1"/>
  <c r="E23" i="1" l="1"/>
  <c r="E24" i="1"/>
  <c r="E26" i="1"/>
  <c r="E40" i="1"/>
  <c r="E40" i="4"/>
  <c r="F40" i="4"/>
  <c r="F40" i="1" l="1"/>
</calcChain>
</file>

<file path=xl/sharedStrings.xml><?xml version="1.0" encoding="utf-8"?>
<sst xmlns="http://schemas.openxmlformats.org/spreadsheetml/2006/main" count="1017" uniqueCount="228">
  <si>
    <t>Складская программа компакт-плиты FUNDERMAX (Австрия), толщина 12 мм</t>
  </si>
  <si>
    <t>(для производства кухонных столешниц и фасадов)</t>
  </si>
  <si>
    <t>Тиснение</t>
  </si>
  <si>
    <t>Декоры</t>
  </si>
  <si>
    <t>AP/RR
(супермат)</t>
  </si>
  <si>
    <t>0606/0080/0077/0075
(черная сердцевина)</t>
  </si>
  <si>
    <t>-</t>
  </si>
  <si>
    <t>IP/SX
(фактурное)</t>
  </si>
  <si>
    <t>4100*610 мм.</t>
  </si>
  <si>
    <t>4100*648 мм.</t>
  </si>
  <si>
    <t>4100*1300 мм</t>
  </si>
  <si>
    <t>NW/NN
(фактурное)</t>
  </si>
  <si>
    <t>FH/FH
(мелкая шагрень)</t>
  </si>
  <si>
    <t>0085/0080/0077/0074/0851
(черная сердцевина)</t>
  </si>
  <si>
    <t>4100*1854 мм</t>
  </si>
  <si>
    <t>0085
(белая сердцевина)</t>
  </si>
  <si>
    <t>ООО «Декотек Инжиниринг»</t>
  </si>
  <si>
    <t>Адрес: 115114, РФ, г. Москва, Кожевнический проезд, д. 1
3 этаж, помещение II</t>
  </si>
  <si>
    <t>Тел./факс: +7 (495) 258-07-48</t>
  </si>
  <si>
    <t>Web: www.dekotech.ru, e-mail: hpl@dekotech.ru</t>
  </si>
  <si>
    <t>ИНН 7705839415 КПП: 770501001</t>
  </si>
  <si>
    <t>Р/с 40702810600000002236</t>
  </si>
  <si>
    <t>в ОАО "Промсвязьбанк" БИК: 044525555</t>
  </si>
  <si>
    <t>Прайс-лист</t>
  </si>
  <si>
    <t>Дилер</t>
  </si>
  <si>
    <t>Действительно с:</t>
  </si>
  <si>
    <t>Стоимость</t>
  </si>
  <si>
    <t>5,33 м2</t>
  </si>
  <si>
    <t>Валюта</t>
  </si>
  <si>
    <t>Складская программа компакт-плиты GREENLAM (Индия), толщина 12 мм</t>
  </si>
  <si>
    <t>AFX
(супермат+)</t>
  </si>
  <si>
    <t>3660*1830 мм.</t>
  </si>
  <si>
    <t>3050*1300 мм.</t>
  </si>
  <si>
    <t>3,97 м2</t>
  </si>
  <si>
    <t>3050*648 мм.</t>
  </si>
  <si>
    <t>3660*600 мм.</t>
  </si>
  <si>
    <t>5575
(черная сердцевина)</t>
  </si>
  <si>
    <t>5574
(белая сердцевина)</t>
  </si>
  <si>
    <t>5427/5076
(черная сердцевина)</t>
  </si>
  <si>
    <t>5577/5578/5773/5774
(черная сердцевина)</t>
  </si>
  <si>
    <t>111/121/401/271/261
(черная сердцевина)</t>
  </si>
  <si>
    <t>Лист</t>
  </si>
  <si>
    <t>Пол-листа</t>
  </si>
  <si>
    <t>Треть листа</t>
  </si>
  <si>
    <t>Руб
м2</t>
  </si>
  <si>
    <t>Курс</t>
  </si>
  <si>
    <t>0085/0080/0077
(черная сердцевина)</t>
  </si>
  <si>
    <t>0794/0793/0497/0428/0427/0426/0027/0026
(черная сердцевина)</t>
  </si>
  <si>
    <t>0585/0566/0599/0331/0260/0048
(черная сердцевина)</t>
  </si>
  <si>
    <t>9861/9854/9853
(черная сердцевина)</t>
  </si>
  <si>
    <t>Складская программа компакт-плиты ABET LAMINATI (Италия), толщина 12 мм</t>
  </si>
  <si>
    <t>4200*1300 мм.</t>
  </si>
  <si>
    <t>CLIMB
(фактурное)</t>
  </si>
  <si>
    <t>410/545/596/1450/1455/1465/2810/9479/9480/9481
(черная сердцевина)</t>
  </si>
  <si>
    <t>2811
(черная сердцевина)</t>
  </si>
  <si>
    <t>PAPIER
(супермат)</t>
  </si>
  <si>
    <t>421/1451/1457
(черная сердцевина)</t>
  </si>
  <si>
    <t>LICIDA
(глянец)</t>
  </si>
  <si>
    <t>2,66 м2</t>
  </si>
  <si>
    <t>2,50 м2</t>
  </si>
  <si>
    <t>7,60 м2</t>
  </si>
  <si>
    <t>1,98 м2</t>
  </si>
  <si>
    <t>6,70 м2</t>
  </si>
  <si>
    <t>2,2 м2</t>
  </si>
  <si>
    <t>СКЛАД - ЕКАТЕРИНБУРГ</t>
  </si>
  <si>
    <t>руб.
м2</t>
  </si>
  <si>
    <t>0085/0080
(черная сердцевина)</t>
  </si>
  <si>
    <r>
      <rPr>
        <sz val="11"/>
        <rFont val="Calibri"/>
        <family val="2"/>
        <charset val="204"/>
        <scheme val="minor"/>
      </rPr>
      <t>0085/0077/0074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</si>
  <si>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t>СКЛАД - МОСКВА</t>
  </si>
  <si>
    <t>SAT (SATIN)
(супермат)</t>
  </si>
  <si>
    <t>PGR (PURE GRAIN)
("под дерево")</t>
  </si>
  <si>
    <t>TER (TERRA)
("под камень")</t>
  </si>
  <si>
    <t>SUE (SUEDE)
(мелкая шагрень)</t>
  </si>
  <si>
    <t>111
(белая сердцевина)</t>
  </si>
  <si>
    <t>Владимиров Алексей</t>
  </si>
  <si>
    <t>Тел: +7 (908) 9 - 123 - 183</t>
  </si>
  <si>
    <t>Mail: vladimirov@dekotech.ru</t>
  </si>
  <si>
    <t>Адрес: г. Екатеринбург, ул. Сибирский тракт, 12, строение 3, оф. 205</t>
  </si>
  <si>
    <t>Руководитель проектов по УрФО</t>
  </si>
  <si>
    <r>
      <rPr>
        <sz val="11"/>
        <rFont val="Calibri"/>
        <family val="2"/>
        <charset val="204"/>
        <scheme val="minor"/>
      </rPr>
      <t>0428/0426/0027/</t>
    </r>
    <r>
      <rPr>
        <sz val="11"/>
        <color rgb="FF00B050"/>
        <rFont val="Calibri"/>
        <family val="2"/>
        <charset val="204"/>
        <scheme val="minor"/>
      </rPr>
      <t>0794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</si>
  <si>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r>
      <rPr>
        <sz val="11"/>
        <color rgb="FF00B050"/>
        <rFont val="Calibri"/>
        <family val="2"/>
        <charset val="204"/>
        <scheme val="minor"/>
      </rPr>
      <t>5574</t>
    </r>
    <r>
      <rPr>
        <sz val="11"/>
        <color theme="1"/>
        <rFont val="Calibri"/>
        <family val="2"/>
        <charset val="204"/>
        <scheme val="minor"/>
      </rPr>
      <t xml:space="preserve">
(белая сердцевина)</t>
    </r>
  </si>
  <si>
    <r>
      <rPr>
        <sz val="11"/>
        <color rgb="FF00B050"/>
        <rFont val="Calibri"/>
        <family val="2"/>
        <charset val="204"/>
        <scheme val="minor"/>
      </rPr>
      <t>5575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</si>
  <si>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r>
      <rPr>
        <sz val="11"/>
        <color rgb="FF00B050"/>
        <rFont val="Calibri"/>
        <family val="2"/>
        <charset val="204"/>
        <scheme val="minor"/>
      </rPr>
      <t>5577/5773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</si>
  <si>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r>
      <rPr>
        <sz val="11"/>
        <color rgb="FF00B050"/>
        <rFont val="Calibri"/>
        <family val="2"/>
        <charset val="204"/>
        <scheme val="minor"/>
      </rPr>
      <t>0566/0260/0048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</si>
  <si>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r>
      <rPr>
        <sz val="11"/>
        <rFont val="Calibri"/>
        <family val="2"/>
        <charset val="204"/>
        <scheme val="minor"/>
      </rPr>
      <t>0585/0566/</t>
    </r>
    <r>
      <rPr>
        <sz val="11"/>
        <color rgb="FF00B050"/>
        <rFont val="Calibri"/>
        <family val="2"/>
        <charset val="204"/>
        <scheme val="minor"/>
      </rPr>
      <t>0331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</si>
  <si>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t>Адрес склада: г. Екатеринбург, 7 километр сибирского тракта, строение 6. (Склад Acoustic Group)</t>
  </si>
  <si>
    <t>евро
м2</t>
  </si>
  <si>
    <t>Складская программа Greenlam AFX Interior MATT, толщина 0,7 мм</t>
  </si>
  <si>
    <t>AFX
MATT</t>
  </si>
  <si>
    <t>9851/9852/9853/9854/9855/9856/9857/9858/9859/9860/9861</t>
  </si>
  <si>
    <t xml:space="preserve">9851/9852/9853/9854/9855/9856/9857/9858/9859/9860/9861
</t>
  </si>
  <si>
    <t>5,46 м2</t>
  </si>
  <si>
    <t>AFX
MATT
Высокопрочный
Анти-Отпечатки</t>
  </si>
  <si>
    <t>9479
(черная сердцевина)</t>
  </si>
  <si>
    <t>977
(черная сердцевина)</t>
  </si>
  <si>
    <t>ЕВРО</t>
  </si>
  <si>
    <t>ЕВРО
м2</t>
  </si>
  <si>
    <t>1. Цены в предложении указаны в евро с НДС 20%;</t>
  </si>
  <si>
    <t>2. Оплата производится в рублях по курсу ЦБ РФ увеличенному на 1,5% на день оплаты, по безналичному расчету.</t>
  </si>
  <si>
    <r>
      <rPr>
        <sz val="11"/>
        <color rgb="FFFF0000"/>
        <rFont val="Calibri"/>
        <family val="2"/>
        <charset val="204"/>
        <scheme val="minor"/>
      </rPr>
      <t>0606/0080/0077/0075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</si>
  <si>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r>
      <t>0085/0080/0077/</t>
    </r>
    <r>
      <rPr>
        <sz val="11"/>
        <color rgb="FFFF0000"/>
        <rFont val="Calibri"/>
        <family val="2"/>
        <charset val="204"/>
        <scheme val="minor"/>
      </rPr>
      <t>2286/0741/0755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</si>
  <si>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r>
      <t>B794/B793/0497/B428/0427/0426/</t>
    </r>
    <r>
      <rPr>
        <sz val="11"/>
        <color rgb="FFFF0000"/>
        <rFont val="Calibri"/>
        <family val="2"/>
        <charset val="204"/>
        <scheme val="minor"/>
      </rPr>
      <t>B421/0406/0394/0386/0344</t>
    </r>
    <r>
      <rPr>
        <sz val="11"/>
        <color theme="1"/>
        <rFont val="Calibri"/>
        <family val="2"/>
        <charset val="204"/>
        <scheme val="minor"/>
      </rPr>
      <t>/0027/0026
(черная сердцевина)</t>
    </r>
  </si>
  <si>
    <r>
      <t>0585/0581/0566/0599/</t>
    </r>
    <r>
      <rPr>
        <sz val="11"/>
        <color rgb="FFFF0000"/>
        <rFont val="Calibri"/>
        <family val="2"/>
        <charset val="204"/>
        <scheme val="minor"/>
      </rPr>
      <t>0565/0378</t>
    </r>
    <r>
      <rPr>
        <sz val="11"/>
        <color theme="1"/>
        <rFont val="Calibri"/>
        <family val="2"/>
        <charset val="204"/>
        <scheme val="minor"/>
      </rPr>
      <t>/0331/</t>
    </r>
    <r>
      <rPr>
        <sz val="11"/>
        <color rgb="FFFF0000"/>
        <rFont val="Calibri"/>
        <family val="2"/>
        <charset val="204"/>
        <scheme val="minor"/>
      </rPr>
      <t>0269</t>
    </r>
    <r>
      <rPr>
        <sz val="11"/>
        <color theme="1"/>
        <rFont val="Calibri"/>
        <family val="2"/>
        <charset val="204"/>
        <scheme val="minor"/>
      </rPr>
      <t>/0260/</t>
    </r>
    <r>
      <rPr>
        <sz val="11"/>
        <color rgb="FFFF0000"/>
        <rFont val="Calibri"/>
        <family val="2"/>
        <charset val="204"/>
        <scheme val="minor"/>
      </rPr>
      <t>0179</t>
    </r>
    <r>
      <rPr>
        <sz val="11"/>
        <color theme="1"/>
        <rFont val="Calibri"/>
        <family val="2"/>
        <charset val="204"/>
        <scheme val="minor"/>
      </rPr>
      <t>/0048/</t>
    </r>
    <r>
      <rPr>
        <sz val="11"/>
        <color rgb="FFFF0000"/>
        <rFont val="Calibri"/>
        <family val="2"/>
        <charset val="204"/>
        <scheme val="minor"/>
      </rPr>
      <t>0049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</si>
  <si>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t>5575/5574
(черная сердцевина)</t>
  </si>
  <si>
    <t>1962
(черная сердцевина)</t>
  </si>
  <si>
    <t>602
(черная сердцевина)</t>
  </si>
  <si>
    <t>410/421/596
(черная сердцевина)</t>
  </si>
  <si>
    <t>545/559/584/1450/1455/1473/2810/9479/9480/9481/977
(черная сердцевина)</t>
  </si>
  <si>
    <t>1465
(черная сердцевина)</t>
  </si>
  <si>
    <t>1452/547/585
(черная сердцевина)</t>
  </si>
  <si>
    <t>9479/977
(черная сердцевина)</t>
  </si>
  <si>
    <t>0428/0426/0027/0794
(черная сердцевина)</t>
  </si>
  <si>
    <t>0566/0260/0048
(черная сердцевина)</t>
  </si>
  <si>
    <t>0085/0077/0074
(черная сердцевина)</t>
  </si>
  <si>
    <t>SEI
(мелкая шагрень)</t>
  </si>
  <si>
    <t>Складская программа Kalesinterflex (Широкоформатный тонкий керамогранит)</t>
  </si>
  <si>
    <t>STR
(Структурное)</t>
  </si>
  <si>
    <t>White STR</t>
  </si>
  <si>
    <t>Толщина
мм</t>
  </si>
  <si>
    <t>3 м2</t>
  </si>
  <si>
    <t>HOLLYWOOD BEIGE / MARB ASTEROID / MARBLES EMPERADOR / METALIK ANTRACITE / TRAVERTINO CLASSIC / NERO BLEND</t>
  </si>
  <si>
    <t>LUXURY CEMENT ANTHRACITE / MARB CALACATA GOLD / MARBLES DARK 2.0</t>
  </si>
  <si>
    <t>3000*1000 мм</t>
  </si>
  <si>
    <t>(для производства кухонных фасадов)</t>
  </si>
  <si>
    <t>3,64 м2</t>
  </si>
  <si>
    <t>Кромка</t>
  </si>
  <si>
    <t>Наименование</t>
  </si>
  <si>
    <t>м.п.</t>
  </si>
  <si>
    <t>Кромка Greenlam AFX , толщина 0,8 мм, ширина 23 мм.</t>
  </si>
  <si>
    <r>
      <t xml:space="preserve">9851/9852/9853/9854/9855/9856/9857/9858/9859/9860/9861
</t>
    </r>
    <r>
      <rPr>
        <sz val="11"/>
        <color rgb="FFFF0000"/>
        <rFont val="Calibri"/>
        <family val="2"/>
        <charset val="204"/>
        <scheme val="minor"/>
      </rPr>
      <t>Односторонний (Обратная сторона цвет -  Белый)
ОСНОВА МДФ 16 мм.</t>
    </r>
  </si>
  <si>
    <r>
      <t>5577/5773/</t>
    </r>
    <r>
      <rPr>
        <sz val="11"/>
        <color theme="1"/>
        <rFont val="Calibri"/>
        <family val="2"/>
        <charset val="204"/>
        <scheme val="minor"/>
      </rPr>
      <t>5578</t>
    </r>
    <r>
      <rPr>
        <sz val="11"/>
        <rFont val="Calibri"/>
        <family val="2"/>
        <charset val="204"/>
        <scheme val="minor"/>
      </rPr>
      <t xml:space="preserve">
(черная сердцевина)</t>
    </r>
  </si>
  <si>
    <r>
      <t xml:space="preserve">3. </t>
    </r>
    <r>
      <rPr>
        <sz val="10"/>
        <color rgb="FFFF0000"/>
        <rFont val="Calibri"/>
        <family val="2"/>
        <scheme val="minor"/>
      </rPr>
      <t>(Со склада в Москве)</t>
    </r>
    <r>
      <rPr>
        <sz val="10"/>
        <color theme="1"/>
        <rFont val="Calibri"/>
        <family val="2"/>
        <scheme val="minor"/>
      </rPr>
      <t xml:space="preserve"> Целые листы либо половина листа (треть листа для формата 4100х1854мм), распиленного вдоль, отгружаются только на паллете в машину с боковой загрузкой. Стоимость паллета 4200 руб.</t>
    </r>
  </si>
  <si>
    <r>
      <t xml:space="preserve">4. </t>
    </r>
    <r>
      <rPr>
        <sz val="10"/>
        <color rgb="FFFF0000"/>
        <rFont val="Calibri"/>
        <family val="2"/>
        <scheme val="minor"/>
      </rPr>
      <t>0606, …</t>
    </r>
    <r>
      <rPr>
        <sz val="10"/>
        <color theme="1"/>
        <rFont val="Calibri"/>
        <family val="2"/>
        <scheme val="minor"/>
      </rPr>
      <t xml:space="preserve"> - декоры, которые выводятся из складской программы. Наличие необходимо уточнять.</t>
    </r>
  </si>
  <si>
    <t>5. Фасадная плита Greenlam AFX Interior MATT - 2800*1300 - производственный размер, необходимо торцевание.</t>
  </si>
  <si>
    <t>Производственная программа Фасадная МДФ плита Greenlam AFX Interior MATT, толщина 18 мм</t>
  </si>
  <si>
    <t>2800*1300 мм.*</t>
  </si>
  <si>
    <t>Лицевая сторона: 9861/9854/9853/9851
Обратная сторона: 9861 - 268 / 9854 - 401 / 9853 - 274 / 9851 - 274</t>
  </si>
  <si>
    <r>
      <t xml:space="preserve">9854/401
(черная сердцевина)
</t>
    </r>
    <r>
      <rPr>
        <sz val="11"/>
        <color rgb="FFFF0000"/>
        <rFont val="Calibri"/>
        <family val="2"/>
        <charset val="204"/>
        <scheme val="minor"/>
      </rPr>
      <t>(Односторонний - Лицевая сторона/Обратная сторона)</t>
    </r>
  </si>
  <si>
    <r>
      <t>0428/0426/</t>
    </r>
    <r>
      <rPr>
        <sz val="11"/>
        <color rgb="FF00B0F0"/>
        <rFont val="Calibri"/>
        <family val="2"/>
        <charset val="204"/>
        <scheme val="minor"/>
      </rPr>
      <t>0026</t>
    </r>
    <r>
      <rPr>
        <sz val="11"/>
        <rFont val="Calibri"/>
        <family val="2"/>
        <charset val="204"/>
        <scheme val="minor"/>
      </rPr>
      <t>/0027/0794
(черная сердцевина)</t>
    </r>
  </si>
  <si>
    <t>0080
(черная сердцевина)</t>
  </si>
  <si>
    <t>5427
(черная сердцевина)</t>
  </si>
  <si>
    <r>
      <rPr>
        <sz val="11"/>
        <color rgb="FF00B0F0"/>
        <rFont val="Calibri"/>
        <family val="2"/>
        <charset val="204"/>
        <scheme val="minor"/>
      </rPr>
      <t>9854/401, 9861/268</t>
    </r>
    <r>
      <rPr>
        <sz val="11"/>
        <rFont val="Calibri"/>
        <family val="2"/>
        <charset val="204"/>
        <scheme val="minor"/>
      </rPr>
      <t xml:space="preserve">
(черная сердцевина)
</t>
    </r>
    <r>
      <rPr>
        <sz val="11"/>
        <color rgb="FFFF0000"/>
        <rFont val="Calibri"/>
        <family val="2"/>
        <charset val="204"/>
        <scheme val="minor"/>
      </rPr>
      <t>(Односторонний - Лицевая сторона/Обратная сторона)</t>
    </r>
  </si>
  <si>
    <r>
      <rPr>
        <sz val="11"/>
        <color rgb="FF00B0F0"/>
        <rFont val="Calibri"/>
        <family val="2"/>
        <charset val="204"/>
        <scheme val="minor"/>
      </rPr>
      <t>5574</t>
    </r>
    <r>
      <rPr>
        <sz val="11"/>
        <rFont val="Calibri"/>
        <family val="2"/>
        <charset val="204"/>
        <scheme val="minor"/>
      </rPr>
      <t>/5575
(черная сердцевина)</t>
    </r>
  </si>
  <si>
    <r>
      <rPr>
        <sz val="11"/>
        <color rgb="FF00B0F0"/>
        <rFont val="Calibri"/>
        <family val="2"/>
        <charset val="204"/>
        <scheme val="minor"/>
      </rPr>
      <t>5427/5076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</si>
  <si>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t>ROOT
(Фактура дерева)</t>
  </si>
  <si>
    <t>1396
(черная сердцевина)</t>
  </si>
  <si>
    <t>421
(черная сердцевина)</t>
  </si>
  <si>
    <t>1451/1457
(черная сердцевина)</t>
  </si>
  <si>
    <t>5574/5575
(Коричневая сердцевина)</t>
  </si>
  <si>
    <t>5577/5773
(Коричневая сердцевина)</t>
  </si>
  <si>
    <t>(для производства антистатичных столов)</t>
  </si>
  <si>
    <t>ESD
Антистатик</t>
  </si>
  <si>
    <t>3660*1525 мм.</t>
  </si>
  <si>
    <t>5,58 м2</t>
  </si>
  <si>
    <t>275
(Коричневая сердцевина)</t>
  </si>
  <si>
    <t>(для производства мебели и интерьерной облицовки стен)</t>
  </si>
  <si>
    <t>ZRL
(Металл)</t>
  </si>
  <si>
    <t>2440*1220 мм.</t>
  </si>
  <si>
    <t>2,98 м2</t>
  </si>
  <si>
    <t>От 1 листа / евро - лист</t>
  </si>
  <si>
    <t>От 10 листов / евро - лист</t>
  </si>
  <si>
    <t>От 100 листов / евро - лист</t>
  </si>
  <si>
    <t>9045 - Brushed Copper Metal (Шлифованная медь)
(Коричневая сердцевина)</t>
  </si>
  <si>
    <t>9031 - Brushed Silver Metal (Шлифованный алюминий)
(Коричневая сердцевина)</t>
  </si>
  <si>
    <t>9042 - Brushed Steel Metal (Шлифованная сталь)
(Коричневая сердцевина)</t>
  </si>
  <si>
    <t>9044 - Brushed Gold Metal (Шлифованное золото)
(Коричневая сердцевина)</t>
  </si>
  <si>
    <t>9046 - Brushed Bronze Metal (Шлифованная бронза)
(Коричневая сердцевина)</t>
  </si>
  <si>
    <t>Складская программа Greenlam ESD Interior, толщина 0,7 мм (АНТИСТАТИК)</t>
  </si>
  <si>
    <t>(для производства мебельных фасадов)</t>
  </si>
  <si>
    <t>(для производства кухонных фартуков и мебельных фасадов)</t>
  </si>
  <si>
    <t>Складская программа Greenlam ZRL Interior, толщина 0,8 мм (МЕТАЛЛИЗИРОВАННЫЙ)</t>
  </si>
  <si>
    <t>Складская программа Greenlam AFX Interior MATT, толщина 0,7 мм (ДЛЯ ФАСАДОВ)</t>
  </si>
  <si>
    <t>Складская программа Greenlam Interior, толщина 0,7 мм (ДЛЯ ФАРТУКОВ И ФАСАДОВ)</t>
  </si>
  <si>
    <t>На материалы перемещаемы со склада в Москве на склад Екатеринбург, добавляется 10% к цене со склада в Москве.</t>
  </si>
  <si>
    <t>Сроки перемещения со склада в Москве на склад в Екатеринбурге от 2 до 8 недель.</t>
  </si>
  <si>
    <t>0566/0260/0048/0331/0585
(черная сердцевина)</t>
  </si>
  <si>
    <t>KSF HOLLYWOOD BEIGE</t>
  </si>
  <si>
    <t>Plank bg 110</t>
  </si>
  <si>
    <t>LUX CEM CEMENT</t>
  </si>
  <si>
    <t>Highway BoneKemik (RENEWAL)</t>
  </si>
  <si>
    <t>LUX CEM ANTHI</t>
  </si>
  <si>
    <t>METALİK ANTHRACITE / ANTRASİT</t>
  </si>
  <si>
    <t>HUED OFF WHITE</t>
  </si>
  <si>
    <t>Nero Blend</t>
  </si>
  <si>
    <t>Luxury Cement Anthracite 3000x1000x5 mm FIT</t>
  </si>
  <si>
    <t>Marb Asteroid 3000x1000x3 mm FIT</t>
  </si>
  <si>
    <t>Marb Calacatta Gold 3000x1000x5 mm FIT</t>
  </si>
  <si>
    <t>Marbles Dark 2.0 3000x1000x5mm FIT</t>
  </si>
  <si>
    <t>Marbles Emperador 3000x1000x3 mm, без сетки</t>
  </si>
  <si>
    <t>Kiraz-Cherry Woodline 3000x1000x3 mm FIT</t>
  </si>
  <si>
    <t>In. Mega White/Beyaz 3000x1000x3 mm, FIT</t>
  </si>
  <si>
    <t>Travertino Classic 3000x1000x3 mm FIT</t>
  </si>
  <si>
    <t>Без армирования</t>
  </si>
  <si>
    <t>Factory black</t>
  </si>
  <si>
    <t>Shell wood Dark</t>
  </si>
  <si>
    <t>5616/5784
(черная сердцевина)</t>
  </si>
  <si>
    <t>LINEA (WOOD)
("под дерево")</t>
  </si>
  <si>
    <t>5375/5076
(черная сердцевина)</t>
  </si>
  <si>
    <t>6,7 м2</t>
  </si>
  <si>
    <r>
      <t>5577/5578/5773/5774/</t>
    </r>
    <r>
      <rPr>
        <sz val="11"/>
        <color rgb="FF00B0F0"/>
        <rFont val="Calibri"/>
        <family val="2"/>
        <charset val="204"/>
        <scheme val="minor"/>
      </rPr>
      <t>5583</t>
    </r>
    <r>
      <rPr>
        <sz val="11"/>
        <color theme="1"/>
        <rFont val="Calibri"/>
        <family val="2"/>
        <charset val="204"/>
        <scheme val="minor"/>
      </rPr>
      <t xml:space="preserve">
(черная сердцевина)</t>
    </r>
  </si>
  <si>
    <t>Складская программа компакт-плиты GENTAS (Турция), толщина 12 мм</t>
  </si>
  <si>
    <t>ESSE / VELUR
(мелкая шагрень)</t>
  </si>
  <si>
    <t>3096 / 3153 / 3155 / 3190
(черная сердцевина)</t>
  </si>
  <si>
    <t>4200*1860 мм</t>
  </si>
  <si>
    <t>4200*1400 мм</t>
  </si>
  <si>
    <t>4200*698 мм.</t>
  </si>
  <si>
    <t>5,88 м2</t>
  </si>
  <si>
    <t>2,94 м2</t>
  </si>
  <si>
    <t>7,82 м2</t>
  </si>
  <si>
    <t>2,57 м2</t>
  </si>
  <si>
    <t>4200*610 мм.</t>
  </si>
  <si>
    <t>CANYON
(фактурное)</t>
  </si>
  <si>
    <t>3096 / 3155 / 3190
(черная сердцевина)</t>
  </si>
  <si>
    <t>TOUCH
(супермат)</t>
  </si>
  <si>
    <t>EVEREST
(фактурное)</t>
  </si>
  <si>
    <t>5646
(черная сердцевина)</t>
  </si>
  <si>
    <t>5666 / 5736 / 5743
(черная сердцевина)</t>
  </si>
  <si>
    <t xml:space="preserve"> JUPITER
(фактурное)</t>
  </si>
  <si>
    <t xml:space="preserve">VELUR
(мелкая шагрень) </t>
  </si>
  <si>
    <t>5801
(черная сердцевина)</t>
  </si>
  <si>
    <t>NATURAL
(иммитация дерева)</t>
  </si>
  <si>
    <t>4613 / 4626 / 4627
(черная сердцевина)</t>
  </si>
  <si>
    <t>4680 / 5427 / 5629 / 5729 / 5808
(черная сердцевина)</t>
  </si>
  <si>
    <t>ITALIAN STONE
(иммитация камня)</t>
  </si>
  <si>
    <t>5630 / 5700
(черная сердцевина)</t>
  </si>
  <si>
    <t>Pristine
(фактурное)</t>
  </si>
  <si>
    <t>5812
(черная сердцевина)</t>
  </si>
  <si>
    <t>Цена
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</si>
</sst>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  <numFmt numFmtId="165" formatCode="_-[$€-2]\ * #,##0.00_-;\-[$€-2]\ * #,##0.00_-;_-[$€-2]\ 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rgb="FFFF0000"/>
      <name val="Calibri"/>
      <family val="2"/>
      <scheme val="minor"/>
    </font>
    <font>
      <sz val="11"/>
      <color rgb="FF00B0F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5" fillId="2" borderId="0" applyNumberFormat="0" applyBorder="0" applyAlignment="0" applyProtection="0"/>
    <xf numFmtId="44" fontId="30" fillId="0" borderId="0" applyFont="0" applyFill="0" applyBorder="0" applyAlignment="0" applyProtection="0"/>
  </cellStyleXfs>
  <cellXfs count="199">
    <xf numFmtId="0" fontId="0" fillId="0" borderId="0" xfId="0"/>
    <xf numFmtId="0" fontId="0" fillId="3" borderId="6" xfId="0" applyFill="1" applyBorder="1" applyAlignment="1">
      <alignment horizontal="center" vertical="center" wrapText="1"/>
    </xf>
    <xf numFmtId="0" fontId="15" fillId="2" borderId="5" xfId="1" applyBorder="1" applyAlignment="1">
      <alignment horizontal="center" vertical="center" wrapText="1"/>
    </xf>
    <xf numFmtId="0" fontId="15" fillId="2" borderId="1" xfId="1" applyBorder="1" applyAlignment="1">
      <alignment horizontal="center" vertical="center" wrapText="1"/>
    </xf>
    <xf numFmtId="0" fontId="15" fillId="2" borderId="7" xfId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6" xfId="0" applyFill="1" applyBorder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64" fontId="15" fillId="2" borderId="1" xfId="1" applyNumberFormat="1" applyBorder="1" applyAlignment="1">
      <alignment horizontal="center" vertical="center"/>
    </xf>
    <xf numFmtId="164" fontId="15" fillId="2" borderId="6" xfId="1" applyNumberFormat="1" applyBorder="1" applyAlignment="1">
      <alignment horizontal="center" vertical="center"/>
    </xf>
    <xf numFmtId="164" fontId="15" fillId="2" borderId="8" xfId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5" fillId="2" borderId="2" xfId="1" applyBorder="1" applyAlignment="1">
      <alignment horizontal="center" vertical="center" wrapText="1"/>
    </xf>
    <xf numFmtId="164" fontId="15" fillId="2" borderId="3" xfId="1" applyNumberFormat="1" applyBorder="1" applyAlignment="1">
      <alignment horizontal="center" vertical="center"/>
    </xf>
    <xf numFmtId="164" fontId="15" fillId="2" borderId="4" xfId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5" fillId="0" borderId="0" xfId="1" applyFill="1" applyBorder="1" applyAlignment="1">
      <alignment horizontal="center" vertical="center" wrapText="1"/>
    </xf>
    <xf numFmtId="164" fontId="15" fillId="0" borderId="0" xfId="1" applyNumberFormat="1" applyFill="1" applyBorder="1" applyAlignment="1">
      <alignment horizontal="center" vertical="center"/>
    </xf>
    <xf numFmtId="0" fontId="14" fillId="2" borderId="5" xfId="1" applyFont="1" applyBorder="1" applyAlignment="1">
      <alignment horizontal="center" vertical="center" wrapText="1"/>
    </xf>
    <xf numFmtId="0" fontId="20" fillId="2" borderId="1" xfId="1" applyFont="1" applyBorder="1" applyAlignment="1">
      <alignment horizontal="center" vertical="center" wrapText="1"/>
    </xf>
    <xf numFmtId="164" fontId="14" fillId="2" borderId="1" xfId="1" applyNumberFormat="1" applyFont="1" applyBorder="1" applyAlignment="1">
      <alignment horizontal="center" vertical="center"/>
    </xf>
    <xf numFmtId="0" fontId="13" fillId="2" borderId="1" xfId="1" applyFont="1" applyBorder="1" applyAlignment="1">
      <alignment horizontal="center" vertical="center" wrapText="1"/>
    </xf>
    <xf numFmtId="164" fontId="13" fillId="2" borderId="1" xfId="1" applyNumberFormat="1" applyFont="1" applyBorder="1" applyAlignment="1">
      <alignment horizontal="center" vertical="center"/>
    </xf>
    <xf numFmtId="164" fontId="13" fillId="2" borderId="6" xfId="1" applyNumberFormat="1" applyFont="1" applyBorder="1" applyAlignment="1">
      <alignment horizontal="center" vertical="center"/>
    </xf>
    <xf numFmtId="0" fontId="13" fillId="2" borderId="3" xfId="1" applyFont="1" applyBorder="1" applyAlignment="1">
      <alignment horizontal="center" vertical="center" wrapText="1"/>
    </xf>
    <xf numFmtId="0" fontId="13" fillId="2" borderId="8" xfId="1" applyFont="1" applyBorder="1" applyAlignment="1">
      <alignment horizontal="center" vertical="center" wrapText="1"/>
    </xf>
    <xf numFmtId="164" fontId="13" fillId="2" borderId="8" xfId="1" applyNumberFormat="1" applyFont="1" applyBorder="1" applyAlignment="1">
      <alignment horizontal="center" vertical="center"/>
    </xf>
    <xf numFmtId="164" fontId="13" fillId="2" borderId="9" xfId="1" applyNumberFormat="1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13" fillId="2" borderId="2" xfId="1" applyFont="1" applyBorder="1" applyAlignment="1">
      <alignment horizontal="center" vertical="center" wrapText="1"/>
    </xf>
    <xf numFmtId="0" fontId="13" fillId="2" borderId="5" xfId="1" applyFont="1" applyBorder="1" applyAlignment="1">
      <alignment horizontal="center" vertical="center" wrapText="1"/>
    </xf>
    <xf numFmtId="0" fontId="13" fillId="2" borderId="7" xfId="1" applyFont="1" applyBorder="1" applyAlignment="1">
      <alignment horizontal="center" vertical="center" wrapText="1"/>
    </xf>
    <xf numFmtId="0" fontId="0" fillId="0" borderId="0" xfId="0" applyFill="1"/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2" borderId="1" xfId="1" applyFont="1" applyBorder="1" applyAlignment="1">
      <alignment horizontal="center" vertical="center" wrapText="1"/>
    </xf>
    <xf numFmtId="0" fontId="12" fillId="2" borderId="8" xfId="1" applyFont="1" applyBorder="1" applyAlignment="1">
      <alignment horizontal="center" vertical="center" wrapText="1"/>
    </xf>
    <xf numFmtId="164" fontId="15" fillId="2" borderId="9" xfId="1" applyNumberFormat="1" applyBorder="1" applyAlignment="1">
      <alignment horizontal="center" vertical="center"/>
    </xf>
    <xf numFmtId="164" fontId="12" fillId="2" borderId="1" xfId="1" applyNumberFormat="1" applyFont="1" applyBorder="1" applyAlignment="1">
      <alignment horizontal="center" vertical="center"/>
    </xf>
    <xf numFmtId="164" fontId="12" fillId="2" borderId="6" xfId="1" applyNumberFormat="1" applyFont="1" applyBorder="1" applyAlignment="1">
      <alignment horizontal="center" vertical="center"/>
    </xf>
    <xf numFmtId="165" fontId="13" fillId="2" borderId="3" xfId="1" applyNumberFormat="1" applyFont="1" applyBorder="1" applyAlignment="1">
      <alignment horizontal="center" vertical="center" wrapText="1"/>
    </xf>
    <xf numFmtId="165" fontId="13" fillId="2" borderId="1" xfId="1" applyNumberFormat="1" applyFont="1" applyBorder="1" applyAlignment="1">
      <alignment horizontal="center" vertical="center" wrapText="1"/>
    </xf>
    <xf numFmtId="165" fontId="15" fillId="2" borderId="1" xfId="1" applyNumberFormat="1" applyBorder="1" applyAlignment="1">
      <alignment horizontal="center" vertical="center" wrapText="1"/>
    </xf>
    <xf numFmtId="165" fontId="13" fillId="2" borderId="8" xfId="1" applyNumberFormat="1" applyFont="1" applyBorder="1" applyAlignment="1">
      <alignment horizontal="center" vertical="center" wrapText="1"/>
    </xf>
    <xf numFmtId="165" fontId="12" fillId="2" borderId="1" xfId="1" applyNumberFormat="1" applyFont="1" applyBorder="1" applyAlignment="1">
      <alignment horizontal="center" vertical="center" wrapText="1"/>
    </xf>
    <xf numFmtId="0" fontId="12" fillId="2" borderId="3" xfId="1" applyFont="1" applyBorder="1" applyAlignment="1">
      <alignment horizontal="center" vertical="center" wrapText="1"/>
    </xf>
    <xf numFmtId="0" fontId="14" fillId="2" borderId="2" xfId="1" applyFont="1" applyBorder="1" applyAlignment="1">
      <alignment horizontal="center" vertical="center" wrapText="1"/>
    </xf>
    <xf numFmtId="0" fontId="20" fillId="2" borderId="3" xfId="1" applyFont="1" applyBorder="1" applyAlignment="1">
      <alignment horizontal="center" vertical="center" wrapText="1"/>
    </xf>
    <xf numFmtId="164" fontId="14" fillId="2" borderId="3" xfId="1" applyNumberFormat="1" applyFont="1" applyBorder="1" applyAlignment="1">
      <alignment horizontal="center" vertical="center"/>
    </xf>
    <xf numFmtId="0" fontId="14" fillId="2" borderId="7" xfId="1" applyFont="1" applyBorder="1" applyAlignment="1">
      <alignment horizontal="center" vertical="center" wrapText="1"/>
    </xf>
    <xf numFmtId="0" fontId="20" fillId="2" borderId="8" xfId="1" applyFont="1" applyBorder="1" applyAlignment="1">
      <alignment horizontal="center" vertical="center" wrapText="1"/>
    </xf>
    <xf numFmtId="164" fontId="14" fillId="2" borderId="8" xfId="1" applyNumberFormat="1" applyFont="1" applyBorder="1" applyAlignment="1">
      <alignment horizontal="center" vertical="center"/>
    </xf>
    <xf numFmtId="0" fontId="11" fillId="2" borderId="13" xfId="1" applyFont="1" applyBorder="1" applyAlignment="1">
      <alignment horizontal="center" vertical="center" wrapText="1"/>
    </xf>
    <xf numFmtId="0" fontId="20" fillId="2" borderId="14" xfId="1" applyFont="1" applyBorder="1" applyAlignment="1">
      <alignment horizontal="center" vertical="center" wrapText="1"/>
    </xf>
    <xf numFmtId="164" fontId="15" fillId="2" borderId="14" xfId="1" applyNumberFormat="1" applyBorder="1" applyAlignment="1">
      <alignment horizontal="center" vertical="center"/>
    </xf>
    <xf numFmtId="164" fontId="14" fillId="2" borderId="14" xfId="1" applyNumberFormat="1" applyFont="1" applyBorder="1" applyAlignment="1">
      <alignment horizontal="center" vertical="center"/>
    </xf>
    <xf numFmtId="164" fontId="15" fillId="2" borderId="15" xfId="1" applyNumberFormat="1" applyBorder="1" applyAlignment="1">
      <alignment horizontal="center" vertical="center"/>
    </xf>
    <xf numFmtId="0" fontId="10" fillId="2" borderId="1" xfId="1" applyFont="1" applyBorder="1" applyAlignment="1">
      <alignment horizontal="center" vertical="center" wrapText="1"/>
    </xf>
    <xf numFmtId="165" fontId="15" fillId="2" borderId="3" xfId="1" applyNumberFormat="1" applyBorder="1" applyAlignment="1">
      <alignment horizontal="center" vertical="center"/>
    </xf>
    <xf numFmtId="165" fontId="15" fillId="2" borderId="4" xfId="1" applyNumberFormat="1" applyBorder="1" applyAlignment="1">
      <alignment horizontal="center" vertical="center"/>
    </xf>
    <xf numFmtId="165" fontId="15" fillId="2" borderId="1" xfId="1" applyNumberFormat="1" applyBorder="1" applyAlignment="1">
      <alignment horizontal="center" vertical="center"/>
    </xf>
    <xf numFmtId="165" fontId="15" fillId="2" borderId="6" xfId="1" applyNumberFormat="1" applyBorder="1" applyAlignment="1">
      <alignment horizontal="center" vertical="center"/>
    </xf>
    <xf numFmtId="165" fontId="12" fillId="2" borderId="1" xfId="1" applyNumberFormat="1" applyFont="1" applyBorder="1" applyAlignment="1">
      <alignment horizontal="center" vertical="center"/>
    </xf>
    <xf numFmtId="165" fontId="12" fillId="2" borderId="6" xfId="1" applyNumberFormat="1" applyFont="1" applyBorder="1" applyAlignment="1">
      <alignment horizontal="center" vertical="center"/>
    </xf>
    <xf numFmtId="165" fontId="13" fillId="2" borderId="1" xfId="1" applyNumberFormat="1" applyFont="1" applyBorder="1" applyAlignment="1">
      <alignment horizontal="center" vertical="center"/>
    </xf>
    <xf numFmtId="165" fontId="15" fillId="2" borderId="8" xfId="1" applyNumberFormat="1" applyBorder="1" applyAlignment="1">
      <alignment horizontal="center" vertical="center"/>
    </xf>
    <xf numFmtId="165" fontId="13" fillId="2" borderId="8" xfId="1" applyNumberFormat="1" applyFont="1" applyBorder="1" applyAlignment="1">
      <alignment horizontal="center" vertical="center"/>
    </xf>
    <xf numFmtId="165" fontId="13" fillId="2" borderId="9" xfId="1" applyNumberFormat="1" applyFont="1" applyBorder="1" applyAlignment="1">
      <alignment horizontal="center" vertical="center"/>
    </xf>
    <xf numFmtId="165" fontId="15" fillId="2" borderId="9" xfId="1" applyNumberFormat="1" applyBorder="1" applyAlignment="1">
      <alignment horizontal="center" vertical="center"/>
    </xf>
    <xf numFmtId="165" fontId="13" fillId="2" borderId="6" xfId="1" applyNumberFormat="1" applyFont="1" applyBorder="1" applyAlignment="1">
      <alignment horizontal="center" vertical="center"/>
    </xf>
    <xf numFmtId="165" fontId="14" fillId="2" borderId="3" xfId="1" applyNumberFormat="1" applyFont="1" applyBorder="1" applyAlignment="1">
      <alignment horizontal="center" vertical="center"/>
    </xf>
    <xf numFmtId="165" fontId="14" fillId="2" borderId="1" xfId="1" applyNumberFormat="1" applyFont="1" applyBorder="1" applyAlignment="1">
      <alignment horizontal="center" vertical="center"/>
    </xf>
    <xf numFmtId="165" fontId="14" fillId="2" borderId="8" xfId="1" applyNumberFormat="1" applyFont="1" applyBorder="1" applyAlignment="1">
      <alignment horizontal="center" vertical="center"/>
    </xf>
    <xf numFmtId="165" fontId="15" fillId="2" borderId="14" xfId="1" applyNumberFormat="1" applyBorder="1" applyAlignment="1">
      <alignment horizontal="center" vertical="center"/>
    </xf>
    <xf numFmtId="165" fontId="14" fillId="2" borderId="14" xfId="1" applyNumberFormat="1" applyFont="1" applyBorder="1" applyAlignment="1">
      <alignment horizontal="center" vertical="center"/>
    </xf>
    <xf numFmtId="165" fontId="15" fillId="2" borderId="15" xfId="1" applyNumberFormat="1" applyBorder="1" applyAlignment="1">
      <alignment horizontal="center" vertical="center"/>
    </xf>
    <xf numFmtId="0" fontId="9" fillId="2" borderId="3" xfId="1" applyFont="1" applyBorder="1" applyAlignment="1">
      <alignment horizontal="center" vertical="center" wrapText="1"/>
    </xf>
    <xf numFmtId="0" fontId="9" fillId="2" borderId="1" xfId="1" applyFont="1" applyBorder="1" applyAlignment="1">
      <alignment horizontal="center" vertical="center" wrapText="1"/>
    </xf>
    <xf numFmtId="0" fontId="9" fillId="2" borderId="7" xfId="1" applyFont="1" applyBorder="1" applyAlignment="1">
      <alignment horizontal="center" vertical="center" wrapText="1"/>
    </xf>
    <xf numFmtId="0" fontId="9" fillId="2" borderId="5" xfId="1" applyFont="1" applyBorder="1" applyAlignment="1">
      <alignment horizontal="center" vertical="center" wrapText="1"/>
    </xf>
    <xf numFmtId="165" fontId="9" fillId="2" borderId="1" xfId="1" applyNumberFormat="1" applyFont="1" applyBorder="1" applyAlignment="1">
      <alignment horizontal="center" vertical="center"/>
    </xf>
    <xf numFmtId="165" fontId="9" fillId="2" borderId="6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1" fillId="2" borderId="7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15" fillId="2" borderId="3" xfId="1" applyNumberFormat="1" applyBorder="1" applyAlignment="1">
      <alignment horizontal="center" vertical="center"/>
    </xf>
    <xf numFmtId="1" fontId="15" fillId="2" borderId="8" xfId="1" applyNumberFormat="1" applyBorder="1" applyAlignment="1">
      <alignment horizontal="center" vertical="center"/>
    </xf>
    <xf numFmtId="1" fontId="15" fillId="2" borderId="1" xfId="1" applyNumberFormat="1" applyBorder="1" applyAlignment="1">
      <alignment horizontal="center" vertical="center"/>
    </xf>
    <xf numFmtId="0" fontId="11" fillId="2" borderId="5" xfId="1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7" fillId="2" borderId="13" xfId="1" applyFont="1" applyBorder="1" applyAlignment="1">
      <alignment horizontal="center" vertical="center" wrapText="1"/>
    </xf>
    <xf numFmtId="0" fontId="19" fillId="0" borderId="0" xfId="0" applyFont="1"/>
    <xf numFmtId="0" fontId="23" fillId="2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6" fillId="2" borderId="7" xfId="1" applyFont="1" applyBorder="1" applyAlignment="1">
      <alignment horizontal="center" vertical="center" wrapText="1"/>
    </xf>
    <xf numFmtId="0" fontId="6" fillId="2" borderId="2" xfId="1" applyFont="1" applyBorder="1" applyAlignment="1">
      <alignment horizontal="center" vertical="center" wrapText="1"/>
    </xf>
    <xf numFmtId="0" fontId="6" fillId="2" borderId="1" xfId="1" applyFont="1" applyBorder="1" applyAlignment="1">
      <alignment horizontal="center" vertical="center" wrapText="1"/>
    </xf>
    <xf numFmtId="165" fontId="6" fillId="2" borderId="8" xfId="1" applyNumberFormat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5" fillId="2" borderId="9" xfId="1" applyNumberFormat="1" applyFont="1" applyBorder="1" applyAlignment="1">
      <alignment horizontal="center" vertical="center"/>
    </xf>
    <xf numFmtId="0" fontId="11" fillId="2" borderId="10" xfId="1" applyFont="1" applyBorder="1" applyAlignment="1">
      <alignment horizontal="center" vertical="center" wrapText="1"/>
    </xf>
    <xf numFmtId="0" fontId="20" fillId="2" borderId="11" xfId="1" applyFont="1" applyBorder="1" applyAlignment="1">
      <alignment horizontal="center" vertical="center" wrapText="1"/>
    </xf>
    <xf numFmtId="165" fontId="15" fillId="2" borderId="11" xfId="1" applyNumberFormat="1" applyBorder="1" applyAlignment="1">
      <alignment horizontal="center" vertical="center"/>
    </xf>
    <xf numFmtId="1" fontId="15" fillId="2" borderId="11" xfId="1" applyNumberFormat="1" applyBorder="1" applyAlignment="1">
      <alignment horizontal="center" vertical="center"/>
    </xf>
    <xf numFmtId="0" fontId="4" fillId="2" borderId="5" xfId="1" applyFont="1" applyBorder="1" applyAlignment="1">
      <alignment horizontal="center" vertical="center" wrapText="1"/>
    </xf>
    <xf numFmtId="165" fontId="14" fillId="2" borderId="11" xfId="1" applyNumberFormat="1" applyFont="1" applyBorder="1" applyAlignment="1">
      <alignment horizontal="center" vertical="center"/>
    </xf>
    <xf numFmtId="165" fontId="4" fillId="2" borderId="1" xfId="1" applyNumberFormat="1" applyFont="1" applyBorder="1" applyAlignment="1">
      <alignment horizontal="center" vertical="center"/>
    </xf>
    <xf numFmtId="165" fontId="4" fillId="2" borderId="11" xfId="1" applyNumberFormat="1" applyFont="1" applyBorder="1" applyAlignment="1">
      <alignment horizontal="center" vertical="center"/>
    </xf>
    <xf numFmtId="165" fontId="4" fillId="2" borderId="8" xfId="1" applyNumberFormat="1" applyFont="1" applyBorder="1" applyAlignment="1">
      <alignment horizontal="center" vertical="center"/>
    </xf>
    <xf numFmtId="165" fontId="4" fillId="2" borderId="6" xfId="1" applyNumberFormat="1" applyFont="1" applyBorder="1" applyAlignment="1">
      <alignment horizontal="center" vertical="center"/>
    </xf>
    <xf numFmtId="165" fontId="4" fillId="2" borderId="12" xfId="1" applyNumberFormat="1" applyFont="1" applyBorder="1" applyAlignment="1">
      <alignment horizontal="center" vertical="center"/>
    </xf>
    <xf numFmtId="165" fontId="4" fillId="2" borderId="9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165" fontId="15" fillId="2" borderId="21" xfId="1" applyNumberFormat="1" applyBorder="1" applyAlignment="1">
      <alignment horizontal="center" vertical="center"/>
    </xf>
    <xf numFmtId="0" fontId="3" fillId="2" borderId="20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165" fontId="3" fillId="2" borderId="21" xfId="1" applyNumberFormat="1" applyFont="1" applyBorder="1" applyAlignment="1">
      <alignment horizontal="center" vertical="center"/>
    </xf>
    <xf numFmtId="165" fontId="3" fillId="2" borderId="22" xfId="1" applyNumberFormat="1" applyFont="1" applyBorder="1" applyAlignment="1">
      <alignment horizontal="center" vertical="center"/>
    </xf>
    <xf numFmtId="0" fontId="25" fillId="2" borderId="1" xfId="1" applyFont="1" applyBorder="1" applyAlignment="1">
      <alignment horizontal="center" vertical="center" wrapText="1"/>
    </xf>
    <xf numFmtId="165" fontId="15" fillId="2" borderId="23" xfId="1" applyNumberFormat="1" applyBorder="1" applyAlignment="1">
      <alignment horizontal="center" vertical="center"/>
    </xf>
    <xf numFmtId="165" fontId="3" fillId="2" borderId="1" xfId="1" applyNumberFormat="1" applyFont="1" applyBorder="1" applyAlignment="1">
      <alignment horizontal="center" vertical="center"/>
    </xf>
    <xf numFmtId="165" fontId="3" fillId="2" borderId="6" xfId="1" applyNumberFormat="1" applyFont="1" applyBorder="1" applyAlignment="1">
      <alignment horizontal="center" vertical="center"/>
    </xf>
    <xf numFmtId="0" fontId="3" fillId="2" borderId="2" xfId="1" applyFont="1" applyBorder="1" applyAlignment="1">
      <alignment horizontal="center" vertical="center" wrapText="1"/>
    </xf>
    <xf numFmtId="165" fontId="3" fillId="2" borderId="3" xfId="1" applyNumberFormat="1" applyFont="1" applyBorder="1" applyAlignment="1">
      <alignment horizontal="center" vertical="center"/>
    </xf>
    <xf numFmtId="0" fontId="3" fillId="2" borderId="8" xfId="1" applyFont="1" applyBorder="1" applyAlignment="1">
      <alignment horizontal="center" vertical="center" wrapText="1"/>
    </xf>
    <xf numFmtId="165" fontId="3" fillId="2" borderId="8" xfId="1" applyNumberFormat="1" applyFont="1" applyBorder="1" applyAlignment="1">
      <alignment horizontal="center" vertical="center"/>
    </xf>
    <xf numFmtId="165" fontId="3" fillId="2" borderId="9" xfId="1" applyNumberFormat="1" applyFont="1" applyBorder="1" applyAlignment="1">
      <alignment horizontal="center" vertical="center"/>
    </xf>
    <xf numFmtId="0" fontId="3" fillId="2" borderId="7" xfId="1" applyFont="1" applyBorder="1" applyAlignment="1">
      <alignment horizontal="center" vertical="center" wrapText="1"/>
    </xf>
    <xf numFmtId="0" fontId="0" fillId="4" borderId="0" xfId="0" applyFill="1"/>
    <xf numFmtId="0" fontId="5" fillId="2" borderId="5" xfId="1" applyFont="1" applyBorder="1" applyAlignment="1">
      <alignment horizontal="center" vertical="center" wrapText="1"/>
    </xf>
    <xf numFmtId="0" fontId="5" fillId="2" borderId="7" xfId="1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7" fillId="0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165" fontId="15" fillId="2" borderId="17" xfId="1" applyNumberFormat="1" applyBorder="1" applyAlignment="1">
      <alignment horizontal="center" vertical="center"/>
    </xf>
    <xf numFmtId="165" fontId="15" fillId="2" borderId="18" xfId="1" applyNumberFormat="1" applyBorder="1" applyAlignment="1">
      <alignment horizontal="center" vertical="center"/>
    </xf>
    <xf numFmtId="165" fontId="15" fillId="2" borderId="19" xfId="1" applyNumberFormat="1" applyBorder="1" applyAlignment="1">
      <alignment horizontal="center" vertical="center"/>
    </xf>
    <xf numFmtId="0" fontId="0" fillId="3" borderId="16" xfId="0" applyFill="1" applyBorder="1" applyAlignment="1">
      <alignment horizontal="center" vertical="center" wrapText="1"/>
    </xf>
    <xf numFmtId="44" fontId="15" fillId="2" borderId="3" xfId="2" applyFont="1" applyFill="1" applyBorder="1" applyAlignment="1">
      <alignment horizontal="center" vertical="center"/>
    </xf>
    <xf numFmtId="44" fontId="15" fillId="2" borderId="4" xfId="2" applyFont="1" applyFill="1" applyBorder="1" applyAlignment="1">
      <alignment horizontal="center" vertical="center"/>
    </xf>
    <xf numFmtId="44" fontId="15" fillId="2" borderId="1" xfId="2" applyFont="1" applyFill="1" applyBorder="1" applyAlignment="1">
      <alignment horizontal="center" vertical="center"/>
    </xf>
    <xf numFmtId="44" fontId="15" fillId="2" borderId="6" xfId="2" applyFont="1" applyFill="1" applyBorder="1" applyAlignment="1">
      <alignment horizontal="center" vertical="center"/>
    </xf>
    <xf numFmtId="44" fontId="2" fillId="2" borderId="1" xfId="2" applyFont="1" applyFill="1" applyBorder="1" applyAlignment="1">
      <alignment horizontal="center" vertical="center"/>
    </xf>
    <xf numFmtId="44" fontId="12" fillId="2" borderId="1" xfId="2" applyFont="1" applyFill="1" applyBorder="1" applyAlignment="1">
      <alignment horizontal="center" vertical="center"/>
    </xf>
    <xf numFmtId="44" fontId="12" fillId="2" borderId="6" xfId="2" applyFont="1" applyFill="1" applyBorder="1" applyAlignment="1">
      <alignment horizontal="center" vertical="center"/>
    </xf>
    <xf numFmtId="44" fontId="13" fillId="2" borderId="1" xfId="2" applyFont="1" applyFill="1" applyBorder="1" applyAlignment="1">
      <alignment horizontal="center" vertical="center"/>
    </xf>
    <xf numFmtId="44" fontId="13" fillId="2" borderId="6" xfId="2" applyFont="1" applyFill="1" applyBorder="1" applyAlignment="1">
      <alignment horizontal="center" vertical="center"/>
    </xf>
    <xf numFmtId="44" fontId="15" fillId="2" borderId="8" xfId="2" applyFont="1" applyFill="1" applyBorder="1" applyAlignment="1">
      <alignment horizontal="center" vertical="center"/>
    </xf>
    <xf numFmtId="44" fontId="6" fillId="2" borderId="8" xfId="2" applyFont="1" applyFill="1" applyBorder="1" applyAlignment="1">
      <alignment horizontal="center" vertical="center"/>
    </xf>
    <xf numFmtId="44" fontId="15" fillId="2" borderId="9" xfId="2" applyFont="1" applyFill="1" applyBorder="1" applyAlignment="1">
      <alignment horizontal="center" vertical="center"/>
    </xf>
  </cellXfs>
  <cellStyles count="3">
    <cellStyle name="20% — акцент1" xfId="1" builtinId="30"/>
    <cellStyle name="Денежный" xfId="2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1</xdr:row>
      <xdr:rowOff>16328</xdr:rowOff>
    </xdr:from>
    <xdr:to>
      <xdr:col>2</xdr:col>
      <xdr:colOff>237128</xdr:colOff>
      <xdr:row>8</xdr:row>
      <xdr:rowOff>122828</xdr:rowOff>
    </xdr:to>
    <xdr:pic>
      <xdr:nvPicPr>
        <xdr:cNvPr id="3" name="Рисунок 18" descr="C:\Users\игорь\Desktop\DTR\сайт\new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621" y="206828"/>
          <a:ext cx="1444082" cy="14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</xdr:colOff>
      <xdr:row>1</xdr:row>
      <xdr:rowOff>16328</xdr:rowOff>
    </xdr:from>
    <xdr:to>
      <xdr:col>2</xdr:col>
      <xdr:colOff>237128</xdr:colOff>
      <xdr:row>8</xdr:row>
      <xdr:rowOff>122828</xdr:rowOff>
    </xdr:to>
    <xdr:pic>
      <xdr:nvPicPr>
        <xdr:cNvPr id="2" name="Рисунок 18" descr="C:\Users\игорь\Desktop\DTR\сайт\new logo.jpg">
          <a:extLst>
            <a:ext uri="{FF2B5EF4-FFF2-40B4-BE49-F238E27FC236}">
              <a16:creationId xmlns:a16="http://schemas.microsoft.com/office/drawing/2014/main" id="{ABAC2AF2-696C-4018-BE71-03713814B6A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671" y="199208"/>
          <a:ext cx="1480277" cy="1386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20"/>
  <sheetViews>
    <sheetView tabSelected="1" topLeftCell="A13" zoomScaleNormal="100" workbookViewId="0">
      <selection activeCell="D26" sqref="D26"/>
    </sheetView>
  </sheetViews>
  <sheetFormatPr defaultRowHeight="14.4" x14ac:dyDescent="0.3"/>
  <cols>
    <col min="1" max="1" width="10.5546875" customWidth="1"/>
    <col min="2" max="2" width="18.44140625" customWidth="1"/>
    <col min="3" max="3" width="66.5546875" customWidth="1"/>
    <col min="4" max="4" width="13" customWidth="1"/>
    <col min="5" max="5" width="14.6640625" customWidth="1"/>
    <col min="6" max="6" width="13.44140625" bestFit="1" customWidth="1"/>
    <col min="7" max="7" width="15.44140625" bestFit="1" customWidth="1"/>
    <col min="8" max="8" width="16" bestFit="1" customWidth="1"/>
    <col min="9" max="9" width="10.5546875" customWidth="1"/>
  </cols>
  <sheetData>
    <row r="2" spans="2:8" x14ac:dyDescent="0.3">
      <c r="H2" s="9" t="s">
        <v>16</v>
      </c>
    </row>
    <row r="3" spans="2:8" x14ac:dyDescent="0.3">
      <c r="H3" s="9" t="s">
        <v>17</v>
      </c>
    </row>
    <row r="4" spans="2:8" x14ac:dyDescent="0.3">
      <c r="H4" s="9" t="s">
        <v>18</v>
      </c>
    </row>
    <row r="5" spans="2:8" x14ac:dyDescent="0.3">
      <c r="H5" s="9" t="s">
        <v>19</v>
      </c>
    </row>
    <row r="6" spans="2:8" x14ac:dyDescent="0.3">
      <c r="H6" s="9" t="s">
        <v>20</v>
      </c>
    </row>
    <row r="7" spans="2:8" x14ac:dyDescent="0.3">
      <c r="H7" s="9" t="s">
        <v>21</v>
      </c>
    </row>
    <row r="8" spans="2:8" x14ac:dyDescent="0.3">
      <c r="H8" s="9" t="s">
        <v>22</v>
      </c>
    </row>
    <row r="9" spans="2:8" x14ac:dyDescent="0.3">
      <c r="H9" s="5"/>
    </row>
    <row r="10" spans="2:8" x14ac:dyDescent="0.3">
      <c r="H10" s="5"/>
    </row>
    <row r="11" spans="2:8" x14ac:dyDescent="0.3">
      <c r="G11" s="7" t="s">
        <v>23</v>
      </c>
      <c r="H11" s="8" t="s">
        <v>24</v>
      </c>
    </row>
    <row r="12" spans="2:8" x14ac:dyDescent="0.3">
      <c r="G12" s="7" t="s">
        <v>25</v>
      </c>
      <c r="H12" s="11">
        <v>46204</v>
      </c>
    </row>
    <row r="13" spans="2:8" x14ac:dyDescent="0.3">
      <c r="G13" s="7" t="s">
        <v>28</v>
      </c>
      <c r="H13" s="8" t="s">
        <v>95</v>
      </c>
    </row>
    <row r="14" spans="2:8" x14ac:dyDescent="0.3">
      <c r="G14" s="7"/>
      <c r="H14" s="8"/>
    </row>
    <row r="15" spans="2:8" ht="18" x14ac:dyDescent="0.35">
      <c r="B15" s="176" t="s">
        <v>64</v>
      </c>
      <c r="C15" s="176"/>
      <c r="D15" s="176"/>
      <c r="E15" s="176"/>
      <c r="F15" s="176"/>
      <c r="G15" s="176"/>
      <c r="H15" s="176"/>
    </row>
    <row r="16" spans="2:8" ht="18" x14ac:dyDescent="0.35">
      <c r="B16" s="178" t="s">
        <v>0</v>
      </c>
      <c r="C16" s="178"/>
      <c r="D16" s="178"/>
      <c r="E16" s="178"/>
      <c r="F16" s="178"/>
      <c r="G16" s="178"/>
      <c r="H16" s="178"/>
    </row>
    <row r="17" spans="2:8" x14ac:dyDescent="0.3">
      <c r="B17" s="179" t="s">
        <v>1</v>
      </c>
      <c r="C17" s="179"/>
      <c r="D17" s="179"/>
      <c r="E17" s="179"/>
      <c r="F17" s="179"/>
      <c r="G17" s="179"/>
      <c r="H17" s="179"/>
    </row>
    <row r="18" spans="2:8" ht="15" thickBot="1" x14ac:dyDescent="0.35"/>
    <row r="19" spans="2:8" x14ac:dyDescent="0.3">
      <c r="B19" s="163" t="s">
        <v>2</v>
      </c>
      <c r="C19" s="166" t="s">
        <v>3</v>
      </c>
      <c r="D19" s="166" t="s">
        <v>26</v>
      </c>
      <c r="E19" s="166"/>
      <c r="F19" s="166"/>
      <c r="G19" s="166"/>
      <c r="H19" s="169"/>
    </row>
    <row r="20" spans="2:8" x14ac:dyDescent="0.3">
      <c r="B20" s="164"/>
      <c r="C20" s="167"/>
      <c r="D20" s="170" t="s">
        <v>227</v>
      </c>
      <c r="E20" s="21" t="s">
        <v>41</v>
      </c>
      <c r="F20" s="21" t="s">
        <v>42</v>
      </c>
      <c r="G20" s="21" t="s">
        <v>41</v>
      </c>
      <c r="H20" s="1" t="s">
        <v>43</v>
      </c>
    </row>
    <row r="21" spans="2:8" x14ac:dyDescent="0.3">
      <c r="B21" s="164"/>
      <c r="C21" s="167"/>
      <c r="D21" s="170"/>
      <c r="E21" s="20" t="s">
        <v>10</v>
      </c>
      <c r="F21" s="20" t="s">
        <v>9</v>
      </c>
      <c r="G21" s="20" t="s">
        <v>14</v>
      </c>
      <c r="H21" s="10" t="s">
        <v>8</v>
      </c>
    </row>
    <row r="22" spans="2:8" ht="15" thickBot="1" x14ac:dyDescent="0.35">
      <c r="B22" s="165"/>
      <c r="C22" s="168"/>
      <c r="D22" s="171"/>
      <c r="E22" s="34" t="s">
        <v>27</v>
      </c>
      <c r="F22" s="35" t="s">
        <v>58</v>
      </c>
      <c r="G22" s="35" t="s">
        <v>60</v>
      </c>
      <c r="H22" s="36" t="s">
        <v>59</v>
      </c>
    </row>
    <row r="23" spans="2:8" ht="28.8" x14ac:dyDescent="0.3">
      <c r="B23" s="17" t="s">
        <v>7</v>
      </c>
      <c r="C23" s="60" t="s">
        <v>66</v>
      </c>
      <c r="D23" s="187">
        <v>14467</v>
      </c>
      <c r="E23" s="187">
        <f>(4.1*1.3)*D23</f>
        <v>77109.11</v>
      </c>
      <c r="F23" s="187">
        <f>((4.1*0.648)*D23)+10</f>
        <v>38445.925600000002</v>
      </c>
      <c r="G23" s="187" t="s">
        <v>6</v>
      </c>
      <c r="H23" s="188" t="s">
        <v>6</v>
      </c>
    </row>
    <row r="24" spans="2:8" ht="28.8" x14ac:dyDescent="0.3">
      <c r="B24" s="2" t="s">
        <v>11</v>
      </c>
      <c r="C24" s="25" t="s">
        <v>138</v>
      </c>
      <c r="D24" s="189">
        <v>17530</v>
      </c>
      <c r="E24" s="189">
        <f>(4.1*1.3)*D24</f>
        <v>93434.9</v>
      </c>
      <c r="F24" s="189">
        <f>((4.1*0.648)*D24)+10</f>
        <v>46583.703999999998</v>
      </c>
      <c r="G24" s="189" t="s">
        <v>6</v>
      </c>
      <c r="H24" s="190" t="s">
        <v>6</v>
      </c>
    </row>
    <row r="25" spans="2:8" ht="28.8" x14ac:dyDescent="0.3">
      <c r="B25" s="2" t="s">
        <v>12</v>
      </c>
      <c r="C25" s="25" t="s">
        <v>175</v>
      </c>
      <c r="D25" s="191">
        <v>11510</v>
      </c>
      <c r="E25" s="189">
        <f>(4.1*1.3)*D25</f>
        <v>61348.3</v>
      </c>
      <c r="F25" s="189">
        <f>((4.1*0.648)*D25)+10</f>
        <v>30589.768</v>
      </c>
      <c r="G25" s="192" t="s">
        <v>6</v>
      </c>
      <c r="H25" s="193" t="s">
        <v>6</v>
      </c>
    </row>
    <row r="26" spans="2:8" ht="28.8" x14ac:dyDescent="0.3">
      <c r="B26" s="2" t="s">
        <v>12</v>
      </c>
      <c r="C26" s="25" t="s">
        <v>113</v>
      </c>
      <c r="D26" s="189">
        <v>11088</v>
      </c>
      <c r="E26" s="189">
        <f>(4.1*1.3)*D26</f>
        <v>59099.040000000001</v>
      </c>
      <c r="F26" s="189">
        <f>((4.1*0.648)*D26)+10</f>
        <v>29468.598399999999</v>
      </c>
      <c r="G26" s="194" t="s">
        <v>6</v>
      </c>
      <c r="H26" s="195" t="s">
        <v>6</v>
      </c>
    </row>
    <row r="27" spans="2:8" ht="29.4" thickBot="1" x14ac:dyDescent="0.35">
      <c r="B27" s="4" t="s">
        <v>12</v>
      </c>
      <c r="C27" s="63" t="s">
        <v>139</v>
      </c>
      <c r="D27" s="196">
        <v>11088</v>
      </c>
      <c r="E27" s="197" t="s">
        <v>6</v>
      </c>
      <c r="F27" s="197" t="s">
        <v>6</v>
      </c>
      <c r="G27" s="196">
        <f>(4.1*1.854)*D27</f>
        <v>84284.323199999999</v>
      </c>
      <c r="H27" s="198">
        <f>((4.1*0.61)*D27)+10</f>
        <v>27741.088</v>
      </c>
    </row>
    <row r="28" spans="2:8" x14ac:dyDescent="0.3">
      <c r="G28" s="6"/>
      <c r="H28" s="5"/>
    </row>
    <row r="29" spans="2:8" ht="18" x14ac:dyDescent="0.35">
      <c r="B29" s="178" t="s">
        <v>29</v>
      </c>
      <c r="C29" s="178"/>
      <c r="D29" s="178"/>
      <c r="E29" s="178"/>
      <c r="F29" s="178"/>
      <c r="G29" s="178"/>
      <c r="H29" s="178"/>
    </row>
    <row r="30" spans="2:8" x14ac:dyDescent="0.3">
      <c r="B30" s="179" t="s">
        <v>1</v>
      </c>
      <c r="C30" s="179"/>
      <c r="D30" s="179"/>
      <c r="E30" s="179"/>
      <c r="F30" s="179"/>
      <c r="G30" s="179"/>
      <c r="H30" s="179"/>
    </row>
    <row r="31" spans="2:8" ht="15" thickBot="1" x14ac:dyDescent="0.35"/>
    <row r="32" spans="2:8" x14ac:dyDescent="0.3">
      <c r="B32" s="163" t="s">
        <v>2</v>
      </c>
      <c r="C32" s="166" t="s">
        <v>3</v>
      </c>
      <c r="D32" s="166" t="s">
        <v>26</v>
      </c>
      <c r="E32" s="166"/>
      <c r="F32" s="166"/>
      <c r="G32" s="166"/>
      <c r="H32" s="169"/>
    </row>
    <row r="33" spans="2:8" x14ac:dyDescent="0.3">
      <c r="B33" s="164"/>
      <c r="C33" s="167"/>
      <c r="D33" s="170" t="s">
        <v>96</v>
      </c>
      <c r="E33" s="43" t="s">
        <v>41</v>
      </c>
      <c r="F33" s="43" t="s">
        <v>42</v>
      </c>
      <c r="G33" s="43" t="s">
        <v>41</v>
      </c>
      <c r="H33" s="1" t="s">
        <v>43</v>
      </c>
    </row>
    <row r="34" spans="2:8" x14ac:dyDescent="0.3">
      <c r="B34" s="164"/>
      <c r="C34" s="167"/>
      <c r="D34" s="170"/>
      <c r="E34" s="41" t="s">
        <v>32</v>
      </c>
      <c r="F34" s="41" t="s">
        <v>34</v>
      </c>
      <c r="G34" s="41" t="s">
        <v>31</v>
      </c>
      <c r="H34" s="10" t="s">
        <v>35</v>
      </c>
    </row>
    <row r="35" spans="2:8" ht="15" thickBot="1" x14ac:dyDescent="0.35">
      <c r="B35" s="165"/>
      <c r="C35" s="168"/>
      <c r="D35" s="171"/>
      <c r="E35" s="42" t="s">
        <v>33</v>
      </c>
      <c r="F35" s="35" t="s">
        <v>61</v>
      </c>
      <c r="G35" s="35" t="s">
        <v>62</v>
      </c>
      <c r="H35" s="36" t="s">
        <v>63</v>
      </c>
    </row>
    <row r="36" spans="2:8" ht="28.8" x14ac:dyDescent="0.3">
      <c r="B36" s="37" t="s">
        <v>69</v>
      </c>
      <c r="C36" s="60" t="s">
        <v>142</v>
      </c>
      <c r="D36" s="71">
        <f>78.96*1.1</f>
        <v>86.855999999999995</v>
      </c>
      <c r="E36" s="71">
        <f t="shared" ref="E36:E39" si="0">(3.05*1.3)*D36</f>
        <v>344.38403999999997</v>
      </c>
      <c r="F36" s="71">
        <f>((3.05*0.648)*D36)+10</f>
        <v>181.66219839999999</v>
      </c>
      <c r="G36" s="71" t="s">
        <v>6</v>
      </c>
      <c r="H36" s="72" t="s">
        <v>6</v>
      </c>
    </row>
    <row r="37" spans="2:8" ht="28.8" x14ac:dyDescent="0.3">
      <c r="B37" s="38" t="s">
        <v>69</v>
      </c>
      <c r="C37" s="25" t="s">
        <v>37</v>
      </c>
      <c r="D37" s="73">
        <f>148.7*1.1</f>
        <v>163.57</v>
      </c>
      <c r="E37" s="73">
        <f t="shared" si="0"/>
        <v>648.55504999999994</v>
      </c>
      <c r="F37" s="73">
        <f>((3.05*0.648)*D37)+10</f>
        <v>333.27974799999998</v>
      </c>
      <c r="G37" s="73" t="s">
        <v>6</v>
      </c>
      <c r="H37" s="74" t="s">
        <v>6</v>
      </c>
    </row>
    <row r="38" spans="2:8" ht="28.8" x14ac:dyDescent="0.3">
      <c r="B38" s="38" t="s">
        <v>71</v>
      </c>
      <c r="C38" s="25" t="s">
        <v>130</v>
      </c>
      <c r="D38" s="73">
        <f>78.96*1.1</f>
        <v>86.855999999999995</v>
      </c>
      <c r="E38" s="73">
        <f t="shared" si="0"/>
        <v>344.38403999999997</v>
      </c>
      <c r="F38" s="73">
        <f>((3.05*0.648)*D38)+10</f>
        <v>181.66219839999999</v>
      </c>
      <c r="G38" s="73" t="s">
        <v>6</v>
      </c>
      <c r="H38" s="74" t="s">
        <v>6</v>
      </c>
    </row>
    <row r="39" spans="2:8" ht="28.8" x14ac:dyDescent="0.3">
      <c r="B39" s="38" t="s">
        <v>70</v>
      </c>
      <c r="C39" s="121" t="s">
        <v>143</v>
      </c>
      <c r="D39" s="73">
        <f>78.96*1.1</f>
        <v>86.855999999999995</v>
      </c>
      <c r="E39" s="73">
        <f t="shared" si="0"/>
        <v>344.38403999999997</v>
      </c>
      <c r="F39" s="73">
        <f>((3.05*0.648)*D39)+10</f>
        <v>181.66219839999999</v>
      </c>
      <c r="G39" s="73" t="s">
        <v>6</v>
      </c>
      <c r="H39" s="74" t="s">
        <v>6</v>
      </c>
    </row>
    <row r="40" spans="2:8" ht="43.8" thickBot="1" x14ac:dyDescent="0.35">
      <c r="B40" s="119" t="s">
        <v>30</v>
      </c>
      <c r="C40" s="63" t="s">
        <v>141</v>
      </c>
      <c r="D40" s="78">
        <f>109.42*1.1</f>
        <v>120.36200000000001</v>
      </c>
      <c r="E40" s="78">
        <f t="shared" ref="E40" si="1">(3.05*1.3)*D40</f>
        <v>477.23533000000003</v>
      </c>
      <c r="F40" s="78">
        <f>((3.05*0.648)*D40)+10</f>
        <v>247.8834568</v>
      </c>
      <c r="G40" s="78" t="s">
        <v>6</v>
      </c>
      <c r="H40" s="81" t="s">
        <v>6</v>
      </c>
    </row>
    <row r="41" spans="2:8" x14ac:dyDescent="0.3">
      <c r="G41" s="6"/>
      <c r="H41" s="5"/>
    </row>
    <row r="42" spans="2:8" x14ac:dyDescent="0.3">
      <c r="G42" s="6"/>
      <c r="H42" s="5"/>
    </row>
    <row r="43" spans="2:8" ht="18" x14ac:dyDescent="0.35">
      <c r="B43" s="172" t="s">
        <v>172</v>
      </c>
      <c r="C43" s="172"/>
      <c r="D43" s="172"/>
      <c r="E43" s="172"/>
      <c r="F43" s="172"/>
      <c r="G43" s="172"/>
      <c r="H43" s="172"/>
    </row>
    <row r="44" spans="2:8" x14ac:dyDescent="0.3">
      <c r="B44" s="180" t="s">
        <v>169</v>
      </c>
      <c r="C44" s="180"/>
      <c r="D44" s="180"/>
      <c r="E44" s="180"/>
      <c r="F44" s="180"/>
      <c r="G44" s="180"/>
      <c r="H44" s="180"/>
    </row>
    <row r="45" spans="2:8" ht="15" thickBot="1" x14ac:dyDescent="0.35"/>
    <row r="46" spans="2:8" x14ac:dyDescent="0.3">
      <c r="B46" s="163" t="s">
        <v>2</v>
      </c>
      <c r="C46" s="166" t="s">
        <v>3</v>
      </c>
      <c r="D46" s="166" t="s">
        <v>26</v>
      </c>
      <c r="E46" s="166"/>
      <c r="F46" s="166"/>
      <c r="G46" s="166"/>
      <c r="H46" s="169"/>
    </row>
    <row r="47" spans="2:8" ht="28.8" x14ac:dyDescent="0.3">
      <c r="B47" s="164"/>
      <c r="C47" s="167"/>
      <c r="D47" s="170" t="s">
        <v>96</v>
      </c>
      <c r="E47" s="118" t="s">
        <v>159</v>
      </c>
      <c r="F47" s="118" t="s">
        <v>160</v>
      </c>
      <c r="G47" s="118" t="s">
        <v>161</v>
      </c>
      <c r="H47" s="1"/>
    </row>
    <row r="48" spans="2:8" x14ac:dyDescent="0.3">
      <c r="B48" s="164"/>
      <c r="C48" s="167"/>
      <c r="D48" s="170"/>
      <c r="E48" s="116" t="s">
        <v>32</v>
      </c>
      <c r="F48" s="116" t="s">
        <v>32</v>
      </c>
      <c r="G48" s="116" t="s">
        <v>32</v>
      </c>
      <c r="H48" s="10"/>
    </row>
    <row r="49" spans="2:8" ht="15" thickBot="1" x14ac:dyDescent="0.35">
      <c r="B49" s="173"/>
      <c r="C49" s="174"/>
      <c r="D49" s="175"/>
      <c r="E49" s="124" t="s">
        <v>33</v>
      </c>
      <c r="F49" s="124" t="s">
        <v>33</v>
      </c>
      <c r="G49" s="124" t="s">
        <v>33</v>
      </c>
      <c r="H49" s="125"/>
    </row>
    <row r="50" spans="2:8" ht="28.8" x14ac:dyDescent="0.3">
      <c r="B50" s="37" t="s">
        <v>69</v>
      </c>
      <c r="C50" s="60" t="s">
        <v>148</v>
      </c>
      <c r="D50" s="71">
        <v>17</v>
      </c>
      <c r="E50" s="71">
        <f>(3.05*1.3)*D50</f>
        <v>67.405000000000001</v>
      </c>
      <c r="F50" s="83">
        <f>16*3.05*1.3</f>
        <v>63.44</v>
      </c>
      <c r="G50" s="71">
        <f>15*3.05*1.3</f>
        <v>59.475000000000001</v>
      </c>
      <c r="H50" s="72" t="s">
        <v>6</v>
      </c>
    </row>
    <row r="51" spans="2:8" ht="29.4" thickBot="1" x14ac:dyDescent="0.35">
      <c r="B51" s="39" t="s">
        <v>71</v>
      </c>
      <c r="C51" s="63" t="s">
        <v>149</v>
      </c>
      <c r="D51" s="78">
        <v>17</v>
      </c>
      <c r="E51" s="78">
        <f>(3.05*1.3)*D51</f>
        <v>67.405000000000001</v>
      </c>
      <c r="F51" s="85">
        <f>16*3.05*1.3</f>
        <v>63.44</v>
      </c>
      <c r="G51" s="78">
        <f>15*3.05*1.3</f>
        <v>59.475000000000001</v>
      </c>
      <c r="H51" s="126" t="s">
        <v>6</v>
      </c>
    </row>
    <row r="52" spans="2:8" ht="14.4" customHeight="1" x14ac:dyDescent="0.3">
      <c r="G52" s="6"/>
      <c r="H52" s="5"/>
    </row>
    <row r="53" spans="2:8" ht="18" x14ac:dyDescent="0.35">
      <c r="B53" s="176" t="s">
        <v>68</v>
      </c>
      <c r="C53" s="176"/>
      <c r="D53" s="176"/>
      <c r="E53" s="176"/>
      <c r="F53" s="176"/>
      <c r="G53" s="176"/>
      <c r="H53" s="176"/>
    </row>
    <row r="54" spans="2:8" ht="18" x14ac:dyDescent="0.35">
      <c r="B54" s="142"/>
      <c r="C54" s="142"/>
      <c r="D54" s="142"/>
      <c r="E54" s="142"/>
      <c r="F54" s="142"/>
      <c r="G54" s="142"/>
      <c r="H54" s="142"/>
    </row>
    <row r="55" spans="2:8" ht="18" x14ac:dyDescent="0.35">
      <c r="B55" s="178" t="s">
        <v>200</v>
      </c>
      <c r="C55" s="178"/>
      <c r="D55" s="178"/>
      <c r="E55" s="178"/>
      <c r="F55" s="178"/>
      <c r="G55" s="178"/>
      <c r="H55" s="178"/>
    </row>
    <row r="56" spans="2:8" x14ac:dyDescent="0.3">
      <c r="B56" s="179" t="s">
        <v>1</v>
      </c>
      <c r="C56" s="179"/>
      <c r="D56" s="179"/>
      <c r="E56" s="179"/>
      <c r="F56" s="179"/>
      <c r="G56" s="179"/>
      <c r="H56" s="179"/>
    </row>
    <row r="57" spans="2:8" ht="15" thickBot="1" x14ac:dyDescent="0.35"/>
    <row r="58" spans="2:8" x14ac:dyDescent="0.3">
      <c r="B58" s="163" t="s">
        <v>2</v>
      </c>
      <c r="C58" s="166" t="s">
        <v>3</v>
      </c>
      <c r="D58" s="166" t="s">
        <v>26</v>
      </c>
      <c r="E58" s="166"/>
      <c r="F58" s="166"/>
      <c r="G58" s="166"/>
      <c r="H58" s="169"/>
    </row>
    <row r="59" spans="2:8" x14ac:dyDescent="0.3">
      <c r="B59" s="164"/>
      <c r="C59" s="167"/>
      <c r="D59" s="170" t="s">
        <v>96</v>
      </c>
      <c r="E59" s="141" t="s">
        <v>41</v>
      </c>
      <c r="F59" s="141" t="s">
        <v>42</v>
      </c>
      <c r="G59" s="141" t="s">
        <v>41</v>
      </c>
      <c r="H59" s="1" t="s">
        <v>43</v>
      </c>
    </row>
    <row r="60" spans="2:8" x14ac:dyDescent="0.3">
      <c r="B60" s="164"/>
      <c r="C60" s="167"/>
      <c r="D60" s="170"/>
      <c r="E60" s="139" t="s">
        <v>204</v>
      </c>
      <c r="F60" s="139" t="s">
        <v>205</v>
      </c>
      <c r="G60" s="139" t="s">
        <v>203</v>
      </c>
      <c r="H60" s="10" t="s">
        <v>210</v>
      </c>
    </row>
    <row r="61" spans="2:8" ht="15" thickBot="1" x14ac:dyDescent="0.35">
      <c r="B61" s="165"/>
      <c r="C61" s="168"/>
      <c r="D61" s="171"/>
      <c r="E61" s="140" t="s">
        <v>206</v>
      </c>
      <c r="F61" s="35" t="s">
        <v>207</v>
      </c>
      <c r="G61" s="35" t="s">
        <v>208</v>
      </c>
      <c r="H61" s="36" t="s">
        <v>209</v>
      </c>
    </row>
    <row r="62" spans="2:8" ht="28.8" x14ac:dyDescent="0.3">
      <c r="B62" s="153" t="s">
        <v>201</v>
      </c>
      <c r="C62" s="60" t="s">
        <v>202</v>
      </c>
      <c r="D62" s="71">
        <v>72.91</v>
      </c>
      <c r="E62" s="154" t="s">
        <v>6</v>
      </c>
      <c r="F62" s="154" t="s">
        <v>6</v>
      </c>
      <c r="G62" s="71">
        <f>D62*7.82</f>
        <v>570.15620000000001</v>
      </c>
      <c r="H62" s="72">
        <f>D62*2.57+10</f>
        <v>197.37869999999998</v>
      </c>
    </row>
    <row r="63" spans="2:8" ht="28.8" x14ac:dyDescent="0.3">
      <c r="B63" s="145" t="s">
        <v>211</v>
      </c>
      <c r="C63" s="25" t="s">
        <v>212</v>
      </c>
      <c r="D63" s="73">
        <v>92.54</v>
      </c>
      <c r="E63" s="151">
        <f>D63*5.88</f>
        <v>544.13520000000005</v>
      </c>
      <c r="F63" s="151">
        <f>D63*2.94+10</f>
        <v>282.06760000000003</v>
      </c>
      <c r="G63" s="151" t="s">
        <v>6</v>
      </c>
      <c r="H63" s="152" t="s">
        <v>6</v>
      </c>
    </row>
    <row r="64" spans="2:8" ht="28.8" x14ac:dyDescent="0.3">
      <c r="B64" s="145" t="s">
        <v>218</v>
      </c>
      <c r="C64" s="146" t="s">
        <v>222</v>
      </c>
      <c r="D64" s="73">
        <v>83.32</v>
      </c>
      <c r="E64" s="151">
        <f t="shared" ref="E64:E70" si="2">D64*5.88</f>
        <v>489.92159999999996</v>
      </c>
      <c r="F64" s="151">
        <f t="shared" ref="F64:F70" si="3">D64*2.94+10</f>
        <v>254.96079999999998</v>
      </c>
      <c r="G64" s="151" t="s">
        <v>6</v>
      </c>
      <c r="H64" s="74" t="s">
        <v>6</v>
      </c>
    </row>
    <row r="65" spans="2:8" ht="28.8" x14ac:dyDescent="0.3">
      <c r="B65" s="145" t="s">
        <v>217</v>
      </c>
      <c r="C65" s="146" t="s">
        <v>219</v>
      </c>
      <c r="D65" s="73">
        <v>83.32</v>
      </c>
      <c r="E65" s="151">
        <f t="shared" si="2"/>
        <v>489.92159999999996</v>
      </c>
      <c r="F65" s="151">
        <f t="shared" si="3"/>
        <v>254.96079999999998</v>
      </c>
      <c r="G65" s="151" t="s">
        <v>6</v>
      </c>
      <c r="H65" s="74" t="s">
        <v>6</v>
      </c>
    </row>
    <row r="66" spans="2:8" ht="28.8" x14ac:dyDescent="0.3">
      <c r="B66" s="145" t="s">
        <v>213</v>
      </c>
      <c r="C66" s="146" t="s">
        <v>216</v>
      </c>
      <c r="D66" s="73">
        <v>97.66</v>
      </c>
      <c r="E66" s="151">
        <f t="shared" si="2"/>
        <v>574.24079999999992</v>
      </c>
      <c r="F66" s="151">
        <f t="shared" si="3"/>
        <v>297.12039999999996</v>
      </c>
      <c r="G66" s="73" t="s">
        <v>6</v>
      </c>
      <c r="H66" s="74" t="s">
        <v>6</v>
      </c>
    </row>
    <row r="67" spans="2:8" ht="28.8" x14ac:dyDescent="0.3">
      <c r="B67" s="145" t="s">
        <v>214</v>
      </c>
      <c r="C67" s="146" t="s">
        <v>215</v>
      </c>
      <c r="D67" s="73">
        <v>97.66</v>
      </c>
      <c r="E67" s="151">
        <f t="shared" si="2"/>
        <v>574.24079999999992</v>
      </c>
      <c r="F67" s="151">
        <f t="shared" si="3"/>
        <v>297.12039999999996</v>
      </c>
      <c r="G67" s="73" t="s">
        <v>6</v>
      </c>
      <c r="H67" s="74" t="s">
        <v>6</v>
      </c>
    </row>
    <row r="68" spans="2:8" ht="43.2" x14ac:dyDescent="0.3">
      <c r="B68" s="145" t="s">
        <v>220</v>
      </c>
      <c r="C68" s="146" t="s">
        <v>221</v>
      </c>
      <c r="D68" s="73">
        <v>101.75</v>
      </c>
      <c r="E68" s="151">
        <f t="shared" si="2"/>
        <v>598.29</v>
      </c>
      <c r="F68" s="151">
        <f t="shared" si="3"/>
        <v>309.14499999999998</v>
      </c>
      <c r="G68" s="73" t="s">
        <v>6</v>
      </c>
      <c r="H68" s="74" t="s">
        <v>6</v>
      </c>
    </row>
    <row r="69" spans="2:8" ht="28.8" x14ac:dyDescent="0.3">
      <c r="B69" s="145" t="s">
        <v>223</v>
      </c>
      <c r="C69" s="146" t="s">
        <v>224</v>
      </c>
      <c r="D69" s="73">
        <v>101.75</v>
      </c>
      <c r="E69" s="151">
        <f t="shared" si="2"/>
        <v>598.29</v>
      </c>
      <c r="F69" s="151">
        <f t="shared" ref="F69" si="4">D69*2.94+10</f>
        <v>309.14499999999998</v>
      </c>
      <c r="G69" s="73" t="s">
        <v>6</v>
      </c>
      <c r="H69" s="74" t="s">
        <v>6</v>
      </c>
    </row>
    <row r="70" spans="2:8" ht="29.4" thickBot="1" x14ac:dyDescent="0.35">
      <c r="B70" s="158" t="s">
        <v>225</v>
      </c>
      <c r="C70" s="155" t="s">
        <v>226</v>
      </c>
      <c r="D70" s="78">
        <v>101.75</v>
      </c>
      <c r="E70" s="156">
        <f t="shared" si="2"/>
        <v>598.29</v>
      </c>
      <c r="F70" s="156">
        <f t="shared" si="3"/>
        <v>309.14499999999998</v>
      </c>
      <c r="G70" s="156" t="s">
        <v>6</v>
      </c>
      <c r="H70" s="157" t="s">
        <v>6</v>
      </c>
    </row>
    <row r="71" spans="2:8" ht="18" x14ac:dyDescent="0.35">
      <c r="B71" s="142"/>
      <c r="C71" s="142"/>
      <c r="D71" s="142"/>
      <c r="E71" s="142"/>
      <c r="F71" s="142"/>
      <c r="G71" s="142"/>
      <c r="H71" s="142"/>
    </row>
    <row r="72" spans="2:8" ht="18" x14ac:dyDescent="0.35">
      <c r="B72" s="178" t="s">
        <v>0</v>
      </c>
      <c r="C72" s="178"/>
      <c r="D72" s="178"/>
      <c r="E72" s="178"/>
      <c r="F72" s="178"/>
      <c r="G72" s="178"/>
      <c r="H72" s="178"/>
    </row>
    <row r="73" spans="2:8" x14ac:dyDescent="0.3">
      <c r="B73" s="179" t="s">
        <v>1</v>
      </c>
      <c r="C73" s="179"/>
      <c r="D73" s="179"/>
      <c r="E73" s="179"/>
      <c r="F73" s="179"/>
      <c r="G73" s="179"/>
      <c r="H73" s="179"/>
    </row>
    <row r="74" spans="2:8" ht="15" thickBot="1" x14ac:dyDescent="0.35"/>
    <row r="75" spans="2:8" ht="15" customHeight="1" x14ac:dyDescent="0.3">
      <c r="B75" s="163" t="s">
        <v>2</v>
      </c>
      <c r="C75" s="166" t="s">
        <v>3</v>
      </c>
      <c r="D75" s="166" t="s">
        <v>26</v>
      </c>
      <c r="E75" s="166"/>
      <c r="F75" s="166"/>
      <c r="G75" s="166"/>
      <c r="H75" s="169"/>
    </row>
    <row r="76" spans="2:8" ht="15" customHeight="1" x14ac:dyDescent="0.3">
      <c r="B76" s="164"/>
      <c r="C76" s="167"/>
      <c r="D76" s="170" t="s">
        <v>96</v>
      </c>
      <c r="E76" s="21" t="s">
        <v>41</v>
      </c>
      <c r="F76" s="21" t="s">
        <v>42</v>
      </c>
      <c r="G76" s="21" t="s">
        <v>41</v>
      </c>
      <c r="H76" s="1" t="s">
        <v>43</v>
      </c>
    </row>
    <row r="77" spans="2:8" x14ac:dyDescent="0.3">
      <c r="B77" s="164"/>
      <c r="C77" s="167"/>
      <c r="D77" s="170"/>
      <c r="E77" s="20" t="s">
        <v>10</v>
      </c>
      <c r="F77" s="20" t="s">
        <v>9</v>
      </c>
      <c r="G77" s="20" t="s">
        <v>14</v>
      </c>
      <c r="H77" s="10" t="s">
        <v>8</v>
      </c>
    </row>
    <row r="78" spans="2:8" ht="15" thickBot="1" x14ac:dyDescent="0.35">
      <c r="B78" s="165"/>
      <c r="C78" s="168"/>
      <c r="D78" s="171"/>
      <c r="E78" s="34" t="s">
        <v>27</v>
      </c>
      <c r="F78" s="35" t="s">
        <v>58</v>
      </c>
      <c r="G78" s="35" t="s">
        <v>60</v>
      </c>
      <c r="H78" s="36" t="s">
        <v>59</v>
      </c>
    </row>
    <row r="79" spans="2:8" ht="28.8" x14ac:dyDescent="0.3">
      <c r="B79" s="37" t="s">
        <v>4</v>
      </c>
      <c r="C79" s="89" t="s">
        <v>99</v>
      </c>
      <c r="D79" s="71">
        <v>192</v>
      </c>
      <c r="E79" s="71">
        <f>(4.1*1.3)*D79</f>
        <v>1023.36</v>
      </c>
      <c r="F79" s="71">
        <f>((4.1*0.648)*D79)+10</f>
        <v>520.10559999999998</v>
      </c>
      <c r="G79" s="71" t="s">
        <v>6</v>
      </c>
      <c r="H79" s="72" t="s">
        <v>6</v>
      </c>
    </row>
    <row r="80" spans="2:8" ht="28.8" x14ac:dyDescent="0.3">
      <c r="B80" s="2" t="s">
        <v>7</v>
      </c>
      <c r="C80" s="90" t="s">
        <v>100</v>
      </c>
      <c r="D80" s="73">
        <v>131.52000000000001</v>
      </c>
      <c r="E80" s="73">
        <f t="shared" ref="E80:E83" si="5">(4.1*1.3)*D80</f>
        <v>701.00160000000005</v>
      </c>
      <c r="F80" s="73">
        <f>((4.1*0.648)*D80)+10</f>
        <v>359.42233600000003</v>
      </c>
      <c r="G80" s="73" t="s">
        <v>6</v>
      </c>
      <c r="H80" s="74" t="s">
        <v>6</v>
      </c>
    </row>
    <row r="81" spans="2:8" ht="28.8" x14ac:dyDescent="0.3">
      <c r="B81" s="2" t="s">
        <v>11</v>
      </c>
      <c r="C81" s="90" t="s">
        <v>101</v>
      </c>
      <c r="D81" s="73">
        <v>159.36000000000001</v>
      </c>
      <c r="E81" s="73">
        <f t="shared" si="5"/>
        <v>849.38880000000006</v>
      </c>
      <c r="F81" s="73">
        <f>((4.1*0.648)*D81)+10</f>
        <v>433.38764800000007</v>
      </c>
      <c r="G81" s="73" t="s">
        <v>6</v>
      </c>
      <c r="H81" s="74" t="s">
        <v>6</v>
      </c>
    </row>
    <row r="82" spans="2:8" ht="28.8" x14ac:dyDescent="0.3">
      <c r="B82" s="2" t="s">
        <v>12</v>
      </c>
      <c r="C82" s="90" t="s">
        <v>102</v>
      </c>
      <c r="D82" s="73">
        <v>104.64</v>
      </c>
      <c r="E82" s="73">
        <f t="shared" si="5"/>
        <v>557.73120000000006</v>
      </c>
      <c r="F82" s="73">
        <f>((4.1*0.648)*D82)+10</f>
        <v>288.00755200000003</v>
      </c>
      <c r="G82" s="73" t="s">
        <v>6</v>
      </c>
      <c r="H82" s="74" t="s">
        <v>6</v>
      </c>
    </row>
    <row r="83" spans="2:8" ht="28.8" x14ac:dyDescent="0.3">
      <c r="B83" s="92" t="s">
        <v>12</v>
      </c>
      <c r="C83" s="90" t="s">
        <v>13</v>
      </c>
      <c r="D83" s="73">
        <v>100.8</v>
      </c>
      <c r="E83" s="73">
        <f t="shared" si="5"/>
        <v>537.26400000000001</v>
      </c>
      <c r="F83" s="73">
        <f>((4.1*0.648)*D83)+10</f>
        <v>277.80543999999998</v>
      </c>
      <c r="G83" s="77">
        <f>(4.1*1.854)*D83</f>
        <v>766.22111999999993</v>
      </c>
      <c r="H83" s="82">
        <f>((4.1*0.61)*D83)+10</f>
        <v>262.10079999999999</v>
      </c>
    </row>
    <row r="85" spans="2:8" ht="18" x14ac:dyDescent="0.35">
      <c r="B85" s="178" t="s">
        <v>29</v>
      </c>
      <c r="C85" s="178"/>
      <c r="D85" s="178"/>
      <c r="E85" s="178"/>
      <c r="F85" s="178"/>
      <c r="G85" s="178"/>
      <c r="H85" s="178"/>
    </row>
    <row r="86" spans="2:8" x14ac:dyDescent="0.3">
      <c r="B86" s="179" t="s">
        <v>1</v>
      </c>
      <c r="C86" s="179"/>
      <c r="D86" s="179"/>
      <c r="E86" s="179"/>
      <c r="F86" s="179"/>
      <c r="G86" s="179"/>
      <c r="H86" s="179"/>
    </row>
    <row r="87" spans="2:8" ht="15" thickBot="1" x14ac:dyDescent="0.35"/>
    <row r="88" spans="2:8" x14ac:dyDescent="0.3">
      <c r="B88" s="163" t="s">
        <v>2</v>
      </c>
      <c r="C88" s="166" t="s">
        <v>3</v>
      </c>
      <c r="D88" s="166" t="s">
        <v>26</v>
      </c>
      <c r="E88" s="166"/>
      <c r="F88" s="166"/>
      <c r="G88" s="166"/>
      <c r="H88" s="169"/>
    </row>
    <row r="89" spans="2:8" ht="15" customHeight="1" x14ac:dyDescent="0.3">
      <c r="B89" s="164"/>
      <c r="C89" s="167"/>
      <c r="D89" s="170" t="s">
        <v>96</v>
      </c>
      <c r="E89" s="21" t="s">
        <v>41</v>
      </c>
      <c r="F89" s="21" t="s">
        <v>42</v>
      </c>
      <c r="G89" s="141" t="s">
        <v>41</v>
      </c>
      <c r="H89" s="1" t="s">
        <v>41</v>
      </c>
    </row>
    <row r="90" spans="2:8" x14ac:dyDescent="0.3">
      <c r="B90" s="164"/>
      <c r="C90" s="167"/>
      <c r="D90" s="170"/>
      <c r="E90" s="20" t="s">
        <v>32</v>
      </c>
      <c r="F90" s="20" t="s">
        <v>34</v>
      </c>
      <c r="G90" s="139" t="s">
        <v>31</v>
      </c>
      <c r="H90" s="10" t="s">
        <v>51</v>
      </c>
    </row>
    <row r="91" spans="2:8" ht="15" thickBot="1" x14ac:dyDescent="0.35">
      <c r="B91" s="165"/>
      <c r="C91" s="168"/>
      <c r="D91" s="171"/>
      <c r="E91" s="34" t="s">
        <v>33</v>
      </c>
      <c r="F91" s="35" t="s">
        <v>61</v>
      </c>
      <c r="G91" s="35" t="s">
        <v>198</v>
      </c>
      <c r="H91" s="36" t="s">
        <v>91</v>
      </c>
    </row>
    <row r="92" spans="2:8" ht="28.8" x14ac:dyDescent="0.3">
      <c r="B92" s="120" t="s">
        <v>30</v>
      </c>
      <c r="C92" s="110" t="s">
        <v>136</v>
      </c>
      <c r="D92" s="71">
        <v>109.42100000000001</v>
      </c>
      <c r="E92" s="71">
        <f>(3.05*1.3)*D92</f>
        <v>433.854265</v>
      </c>
      <c r="F92" s="71">
        <f>((3.05*0.648)*D92)+10</f>
        <v>226.25966440000002</v>
      </c>
      <c r="G92" s="71" t="s">
        <v>6</v>
      </c>
      <c r="H92" s="72" t="s">
        <v>6</v>
      </c>
    </row>
    <row r="93" spans="2:8" ht="28.8" x14ac:dyDescent="0.3">
      <c r="B93" s="144" t="s">
        <v>72</v>
      </c>
      <c r="C93" s="149" t="s">
        <v>195</v>
      </c>
      <c r="D93" s="73">
        <v>78.959999999999994</v>
      </c>
      <c r="E93" s="73">
        <f t="shared" ref="E93" si="6">(3.05*1.3)*D93</f>
        <v>313.07639999999998</v>
      </c>
      <c r="F93" s="73">
        <f>((3.05*0.648)*D93)+10</f>
        <v>166.05654399999997</v>
      </c>
      <c r="G93" s="73" t="s">
        <v>6</v>
      </c>
      <c r="H93" s="74" t="s">
        <v>6</v>
      </c>
    </row>
    <row r="94" spans="2:8" ht="28.8" x14ac:dyDescent="0.3">
      <c r="B94" s="38" t="s">
        <v>69</v>
      </c>
      <c r="C94" s="90" t="s">
        <v>103</v>
      </c>
      <c r="D94" s="73">
        <v>78.959999999999994</v>
      </c>
      <c r="E94" s="73">
        <f t="shared" ref="E94:E100" si="7">(3.05*1.3)*D94</f>
        <v>313.07639999999998</v>
      </c>
      <c r="F94" s="73">
        <f>((3.05*0.648)*D94)+10</f>
        <v>166.05654399999997</v>
      </c>
      <c r="G94" s="73" t="s">
        <v>6</v>
      </c>
      <c r="H94" s="74" t="s">
        <v>6</v>
      </c>
    </row>
    <row r="95" spans="2:8" ht="28.8" x14ac:dyDescent="0.3">
      <c r="B95" s="38" t="s">
        <v>69</v>
      </c>
      <c r="C95" s="121" t="s">
        <v>37</v>
      </c>
      <c r="D95" s="73">
        <v>148.69999999999999</v>
      </c>
      <c r="E95" s="73">
        <f t="shared" si="7"/>
        <v>589.5954999999999</v>
      </c>
      <c r="F95" s="73">
        <f>((3.05*0.648)*D95)+10</f>
        <v>303.89067999999997</v>
      </c>
      <c r="G95" s="73" t="s">
        <v>6</v>
      </c>
      <c r="H95" s="74" t="s">
        <v>6</v>
      </c>
    </row>
    <row r="96" spans="2:8" ht="28.8" x14ac:dyDescent="0.3">
      <c r="B96" s="38" t="s">
        <v>70</v>
      </c>
      <c r="C96" s="3" t="s">
        <v>38</v>
      </c>
      <c r="D96" s="73">
        <v>78.959999999999994</v>
      </c>
      <c r="E96" s="73">
        <f t="shared" si="7"/>
        <v>313.07639999999998</v>
      </c>
      <c r="F96" s="73">
        <f>((3.05*0.648)*D96)+10</f>
        <v>166.05654399999997</v>
      </c>
      <c r="G96" s="73" t="s">
        <v>6</v>
      </c>
      <c r="H96" s="74" t="s">
        <v>6</v>
      </c>
    </row>
    <row r="97" spans="2:10" ht="28.8" x14ac:dyDescent="0.3">
      <c r="B97" s="145" t="s">
        <v>196</v>
      </c>
      <c r="C97" s="149" t="s">
        <v>197</v>
      </c>
      <c r="D97" s="73">
        <v>78.959999999999994</v>
      </c>
      <c r="E97" s="151" t="s">
        <v>6</v>
      </c>
      <c r="F97" s="151" t="s">
        <v>6</v>
      </c>
      <c r="G97" s="151" t="s">
        <v>6</v>
      </c>
      <c r="H97" s="74">
        <f>Цены!H68</f>
        <v>431.12159999999994</v>
      </c>
    </row>
    <row r="98" spans="2:10" ht="28.8" x14ac:dyDescent="0.3">
      <c r="B98" s="38" t="s">
        <v>71</v>
      </c>
      <c r="C98" s="146" t="s">
        <v>199</v>
      </c>
      <c r="D98" s="73">
        <v>78.959999999999994</v>
      </c>
      <c r="E98" s="73">
        <f t="shared" si="7"/>
        <v>313.07639999999998</v>
      </c>
      <c r="F98" s="73">
        <f>((3.05*0.648)*D98)+10</f>
        <v>166.05654399999997</v>
      </c>
      <c r="G98" s="73" t="s">
        <v>6</v>
      </c>
      <c r="H98" s="74" t="s">
        <v>6</v>
      </c>
    </row>
    <row r="99" spans="2:10" ht="28.8" x14ac:dyDescent="0.3">
      <c r="B99" s="145" t="s">
        <v>72</v>
      </c>
      <c r="C99" s="3" t="s">
        <v>40</v>
      </c>
      <c r="D99" s="73">
        <v>72.209999999999994</v>
      </c>
      <c r="E99" s="73" t="s">
        <v>6</v>
      </c>
      <c r="F99" s="73" t="s">
        <v>6</v>
      </c>
      <c r="G99" s="73">
        <f>(3.66*1.83)*D99</f>
        <v>483.64813800000002</v>
      </c>
      <c r="H99" s="152" t="s">
        <v>6</v>
      </c>
    </row>
    <row r="100" spans="2:10" ht="29.4" thickBot="1" x14ac:dyDescent="0.35">
      <c r="B100" s="39" t="s">
        <v>72</v>
      </c>
      <c r="C100" s="31" t="s">
        <v>73</v>
      </c>
      <c r="D100" s="78">
        <v>157.44999999999999</v>
      </c>
      <c r="E100" s="78">
        <f t="shared" si="7"/>
        <v>624.28924999999992</v>
      </c>
      <c r="F100" s="78">
        <f>((3.05*0.648)*D100)+10</f>
        <v>321.18417999999997</v>
      </c>
      <c r="G100" s="79" t="s">
        <v>6</v>
      </c>
      <c r="H100" s="80" t="s">
        <v>6</v>
      </c>
    </row>
    <row r="101" spans="2:10" x14ac:dyDescent="0.3">
      <c r="B101" s="22"/>
      <c r="C101" s="22"/>
      <c r="D101" s="23"/>
      <c r="E101" s="23"/>
      <c r="F101" s="23"/>
      <c r="G101" s="23"/>
      <c r="H101" s="23"/>
    </row>
    <row r="102" spans="2:10" ht="18" x14ac:dyDescent="0.35">
      <c r="B102" s="178" t="s">
        <v>50</v>
      </c>
      <c r="C102" s="178"/>
      <c r="D102" s="178"/>
      <c r="E102" s="178"/>
      <c r="F102" s="178"/>
      <c r="G102" s="178"/>
      <c r="H102" s="178"/>
    </row>
    <row r="103" spans="2:10" x14ac:dyDescent="0.3">
      <c r="B103" s="179" t="s">
        <v>1</v>
      </c>
      <c r="C103" s="179"/>
      <c r="D103" s="179"/>
      <c r="E103" s="179"/>
      <c r="F103" s="179"/>
      <c r="G103" s="179"/>
      <c r="H103" s="179"/>
    </row>
    <row r="104" spans="2:10" ht="15" thickBot="1" x14ac:dyDescent="0.35"/>
    <row r="105" spans="2:10" x14ac:dyDescent="0.3">
      <c r="B105" s="163" t="s">
        <v>2</v>
      </c>
      <c r="C105" s="166" t="s">
        <v>3</v>
      </c>
      <c r="D105" s="166" t="s">
        <v>26</v>
      </c>
      <c r="E105" s="166"/>
      <c r="F105" s="166"/>
      <c r="G105" s="166"/>
      <c r="H105" s="169"/>
    </row>
    <row r="106" spans="2:10" x14ac:dyDescent="0.3">
      <c r="B106" s="164"/>
      <c r="C106" s="167"/>
      <c r="D106" s="170" t="s">
        <v>96</v>
      </c>
      <c r="E106" s="16" t="s">
        <v>41</v>
      </c>
      <c r="F106" s="16"/>
      <c r="G106" s="16"/>
      <c r="H106" s="1"/>
    </row>
    <row r="107" spans="2:10" x14ac:dyDescent="0.3">
      <c r="B107" s="164"/>
      <c r="C107" s="167"/>
      <c r="D107" s="170"/>
      <c r="E107" s="15" t="s">
        <v>51</v>
      </c>
      <c r="F107" s="15"/>
      <c r="G107" s="15"/>
      <c r="H107" s="10"/>
    </row>
    <row r="108" spans="2:10" ht="15" thickBot="1" x14ac:dyDescent="0.35">
      <c r="B108" s="165"/>
      <c r="C108" s="168"/>
      <c r="D108" s="171"/>
      <c r="E108" s="46" t="s">
        <v>91</v>
      </c>
      <c r="F108" s="35"/>
      <c r="G108" s="35"/>
      <c r="H108" s="36"/>
    </row>
    <row r="109" spans="2:10" ht="28.8" x14ac:dyDescent="0.3">
      <c r="B109" s="59" t="s">
        <v>52</v>
      </c>
      <c r="C109" s="60" t="s">
        <v>106</v>
      </c>
      <c r="D109" s="71">
        <f>E109/(4.2*1.3)</f>
        <v>119.09340659340657</v>
      </c>
      <c r="E109" s="71">
        <f>J109-J109*15%</f>
        <v>650.25</v>
      </c>
      <c r="F109" s="83" t="s">
        <v>6</v>
      </c>
      <c r="G109" s="71" t="s">
        <v>6</v>
      </c>
      <c r="H109" s="72" t="s">
        <v>6</v>
      </c>
      <c r="J109" s="159">
        <v>765</v>
      </c>
    </row>
    <row r="110" spans="2:10" ht="28.8" x14ac:dyDescent="0.3">
      <c r="B110" s="24" t="s">
        <v>52</v>
      </c>
      <c r="C110" s="25" t="s">
        <v>107</v>
      </c>
      <c r="D110" s="73">
        <f>E110/(4.2*1.3)</f>
        <v>122.20695970695969</v>
      </c>
      <c r="E110" s="73">
        <f t="shared" ref="E110:E118" si="8">J110-J110*15%</f>
        <v>667.25</v>
      </c>
      <c r="F110" s="84" t="s">
        <v>6</v>
      </c>
      <c r="G110" s="73" t="s">
        <v>6</v>
      </c>
      <c r="H110" s="74" t="s">
        <v>6</v>
      </c>
      <c r="J110" s="159">
        <v>785</v>
      </c>
    </row>
    <row r="111" spans="2:10" ht="28.8" x14ac:dyDescent="0.3">
      <c r="B111" s="24" t="s">
        <v>52</v>
      </c>
      <c r="C111" s="25" t="s">
        <v>108</v>
      </c>
      <c r="D111" s="73">
        <f t="shared" ref="D111:D118" si="9">E111/(4.2*1.3)</f>
        <v>124.85347985347984</v>
      </c>
      <c r="E111" s="73">
        <f t="shared" si="8"/>
        <v>681.7</v>
      </c>
      <c r="F111" s="93" t="s">
        <v>6</v>
      </c>
      <c r="G111" s="93" t="s">
        <v>6</v>
      </c>
      <c r="H111" s="94" t="s">
        <v>6</v>
      </c>
      <c r="J111" s="159">
        <v>802</v>
      </c>
    </row>
    <row r="112" spans="2:10" ht="28.8" x14ac:dyDescent="0.3">
      <c r="B112" s="24" t="s">
        <v>52</v>
      </c>
      <c r="C112" s="25" t="s">
        <v>109</v>
      </c>
      <c r="D112" s="73">
        <f t="shared" si="9"/>
        <v>120.33882783882781</v>
      </c>
      <c r="E112" s="73">
        <f t="shared" si="8"/>
        <v>657.05</v>
      </c>
      <c r="F112" s="93" t="s">
        <v>6</v>
      </c>
      <c r="G112" s="93" t="s">
        <v>6</v>
      </c>
      <c r="H112" s="94" t="s">
        <v>6</v>
      </c>
      <c r="J112" s="159">
        <v>773</v>
      </c>
    </row>
    <row r="113" spans="2:10" ht="28.8" x14ac:dyDescent="0.3">
      <c r="B113" s="24" t="s">
        <v>52</v>
      </c>
      <c r="C113" s="25" t="s">
        <v>54</v>
      </c>
      <c r="D113" s="73">
        <f t="shared" si="9"/>
        <v>136.99633699633696</v>
      </c>
      <c r="E113" s="73">
        <f t="shared" si="8"/>
        <v>748</v>
      </c>
      <c r="F113" s="84" t="s">
        <v>6</v>
      </c>
      <c r="G113" s="73" t="s">
        <v>6</v>
      </c>
      <c r="H113" s="74" t="s">
        <v>6</v>
      </c>
      <c r="J113" s="159">
        <v>880</v>
      </c>
    </row>
    <row r="114" spans="2:10" ht="28.8" x14ac:dyDescent="0.3">
      <c r="B114" s="24" t="s">
        <v>55</v>
      </c>
      <c r="C114" s="25" t="s">
        <v>147</v>
      </c>
      <c r="D114" s="73">
        <f t="shared" si="9"/>
        <v>120.96153846153845</v>
      </c>
      <c r="E114" s="73">
        <f t="shared" si="8"/>
        <v>660.45</v>
      </c>
      <c r="F114" s="84" t="s">
        <v>6</v>
      </c>
      <c r="G114" s="73" t="s">
        <v>6</v>
      </c>
      <c r="H114" s="74" t="s">
        <v>6</v>
      </c>
      <c r="J114" s="159">
        <v>777</v>
      </c>
    </row>
    <row r="115" spans="2:10" ht="28.8" x14ac:dyDescent="0.3">
      <c r="B115" s="24" t="s">
        <v>55</v>
      </c>
      <c r="C115" s="25" t="s">
        <v>146</v>
      </c>
      <c r="D115" s="73">
        <f t="shared" si="9"/>
        <v>117.53663003663002</v>
      </c>
      <c r="E115" s="73">
        <f t="shared" ref="E115" si="10">J115-J115*15%</f>
        <v>641.75</v>
      </c>
      <c r="F115" s="84" t="s">
        <v>6</v>
      </c>
      <c r="G115" s="73" t="s">
        <v>6</v>
      </c>
      <c r="H115" s="74" t="s">
        <v>6</v>
      </c>
      <c r="J115" s="159">
        <v>755</v>
      </c>
    </row>
    <row r="116" spans="2:10" ht="28.8" x14ac:dyDescent="0.3">
      <c r="B116" s="24" t="s">
        <v>57</v>
      </c>
      <c r="C116" s="25" t="s">
        <v>110</v>
      </c>
      <c r="D116" s="73">
        <f t="shared" si="9"/>
        <v>122.20695970695969</v>
      </c>
      <c r="E116" s="73">
        <f t="shared" si="8"/>
        <v>667.25</v>
      </c>
      <c r="F116" s="84" t="s">
        <v>6</v>
      </c>
      <c r="G116" s="73" t="s">
        <v>6</v>
      </c>
      <c r="H116" s="74" t="s">
        <v>6</v>
      </c>
      <c r="J116" s="159">
        <v>785</v>
      </c>
    </row>
    <row r="117" spans="2:10" ht="28.8" x14ac:dyDescent="0.3">
      <c r="B117" s="92" t="s">
        <v>114</v>
      </c>
      <c r="C117" s="25" t="s">
        <v>105</v>
      </c>
      <c r="D117" s="73">
        <f t="shared" si="9"/>
        <v>122.20695970695969</v>
      </c>
      <c r="E117" s="73">
        <f t="shared" si="8"/>
        <v>667.25</v>
      </c>
      <c r="F117" s="84" t="s">
        <v>6</v>
      </c>
      <c r="G117" s="73" t="s">
        <v>6</v>
      </c>
      <c r="H117" s="74" t="s">
        <v>6</v>
      </c>
      <c r="J117" s="159">
        <v>785</v>
      </c>
    </row>
    <row r="118" spans="2:10" ht="28.8" x14ac:dyDescent="0.3">
      <c r="B118" s="92" t="s">
        <v>114</v>
      </c>
      <c r="C118" s="25" t="s">
        <v>104</v>
      </c>
      <c r="D118" s="73">
        <f t="shared" si="9"/>
        <v>114.73443223443222</v>
      </c>
      <c r="E118" s="73">
        <f t="shared" si="8"/>
        <v>626.45000000000005</v>
      </c>
      <c r="F118" s="84" t="s">
        <v>6</v>
      </c>
      <c r="G118" s="73" t="s">
        <v>6</v>
      </c>
      <c r="H118" s="74" t="s">
        <v>6</v>
      </c>
      <c r="J118" s="159">
        <v>737</v>
      </c>
    </row>
    <row r="119" spans="2:10" ht="29.4" thickBot="1" x14ac:dyDescent="0.35">
      <c r="B119" s="119" t="s">
        <v>144</v>
      </c>
      <c r="C119" s="63" t="s">
        <v>145</v>
      </c>
      <c r="D119" s="78">
        <f>E119/(4.2*1.3)</f>
        <v>112.24358974358972</v>
      </c>
      <c r="E119" s="78">
        <f t="shared" ref="E119" si="11">J119-J119*15%</f>
        <v>612.85</v>
      </c>
      <c r="F119" s="85" t="s">
        <v>6</v>
      </c>
      <c r="G119" s="78" t="s">
        <v>6</v>
      </c>
      <c r="H119" s="81" t="s">
        <v>6</v>
      </c>
      <c r="J119" s="159">
        <v>721</v>
      </c>
    </row>
    <row r="120" spans="2:10" s="40" customFormat="1" x14ac:dyDescent="0.3">
      <c r="B120" s="22"/>
      <c r="C120" s="22"/>
      <c r="D120" s="23"/>
      <c r="E120" s="23"/>
      <c r="F120" s="23"/>
      <c r="G120" s="23"/>
      <c r="H120" s="23"/>
    </row>
    <row r="121" spans="2:10" s="40" customFormat="1" ht="18" x14ac:dyDescent="0.35">
      <c r="B121" s="177" t="s">
        <v>171</v>
      </c>
      <c r="C121" s="177"/>
      <c r="D121" s="177"/>
      <c r="E121" s="177"/>
      <c r="F121" s="177"/>
      <c r="G121" s="177"/>
      <c r="H121" s="177"/>
    </row>
    <row r="122" spans="2:10" s="40" customFormat="1" x14ac:dyDescent="0.3">
      <c r="B122" s="162" t="s">
        <v>168</v>
      </c>
      <c r="C122" s="162"/>
      <c r="D122" s="162"/>
      <c r="E122" s="162"/>
      <c r="F122" s="162"/>
      <c r="G122" s="162"/>
      <c r="H122" s="162"/>
    </row>
    <row r="123" spans="2:10" s="40" customFormat="1" ht="15" thickBot="1" x14ac:dyDescent="0.35">
      <c r="B123"/>
      <c r="C123"/>
      <c r="D123"/>
      <c r="E123"/>
      <c r="F123"/>
      <c r="G123"/>
      <c r="H123"/>
    </row>
    <row r="124" spans="2:10" s="40" customFormat="1" x14ac:dyDescent="0.3">
      <c r="B124" s="163" t="s">
        <v>2</v>
      </c>
      <c r="C124" s="166" t="s">
        <v>3</v>
      </c>
      <c r="D124" s="166" t="s">
        <v>26</v>
      </c>
      <c r="E124" s="166"/>
      <c r="F124" s="166"/>
      <c r="G124" s="166"/>
      <c r="H124" s="169"/>
    </row>
    <row r="125" spans="2:10" s="40" customFormat="1" x14ac:dyDescent="0.3">
      <c r="B125" s="164"/>
      <c r="C125" s="167"/>
      <c r="D125" s="170" t="s">
        <v>96</v>
      </c>
      <c r="E125" s="47" t="s">
        <v>41</v>
      </c>
      <c r="F125" s="47"/>
      <c r="G125" s="47"/>
      <c r="H125" s="1"/>
    </row>
    <row r="126" spans="2:10" s="40" customFormat="1" x14ac:dyDescent="0.3">
      <c r="B126" s="164"/>
      <c r="C126" s="167"/>
      <c r="D126" s="170"/>
      <c r="E126" s="45" t="s">
        <v>32</v>
      </c>
      <c r="F126" s="45"/>
      <c r="G126" s="45"/>
      <c r="H126" s="10"/>
    </row>
    <row r="127" spans="2:10" s="40" customFormat="1" ht="15" thickBot="1" x14ac:dyDescent="0.35">
      <c r="B127" s="165"/>
      <c r="C127" s="168"/>
      <c r="D127" s="171"/>
      <c r="E127" s="46" t="s">
        <v>33</v>
      </c>
      <c r="F127" s="35"/>
      <c r="G127" s="35"/>
      <c r="H127" s="36"/>
    </row>
    <row r="128" spans="2:10" s="40" customFormat="1" ht="58.2" thickBot="1" x14ac:dyDescent="0.35">
      <c r="B128" s="65" t="s">
        <v>92</v>
      </c>
      <c r="C128" s="66" t="s">
        <v>89</v>
      </c>
      <c r="D128" s="86">
        <v>38.799999999999997</v>
      </c>
      <c r="E128" s="86">
        <f>(3.05*1.3)*D128</f>
        <v>153.84199999999998</v>
      </c>
      <c r="F128" s="87" t="s">
        <v>6</v>
      </c>
      <c r="G128" s="86" t="s">
        <v>6</v>
      </c>
      <c r="H128" s="88" t="s">
        <v>6</v>
      </c>
    </row>
    <row r="131" spans="2:8" ht="18" x14ac:dyDescent="0.35">
      <c r="B131" s="172" t="s">
        <v>172</v>
      </c>
      <c r="C131" s="172"/>
      <c r="D131" s="172"/>
      <c r="E131" s="172"/>
      <c r="F131" s="172"/>
      <c r="G131" s="172"/>
      <c r="H131" s="172"/>
    </row>
    <row r="132" spans="2:8" x14ac:dyDescent="0.3">
      <c r="B132" s="180" t="s">
        <v>169</v>
      </c>
      <c r="C132" s="180"/>
      <c r="D132" s="180"/>
      <c r="E132" s="180"/>
      <c r="F132" s="180"/>
      <c r="G132" s="180"/>
      <c r="H132" s="180"/>
    </row>
    <row r="133" spans="2:8" ht="15" thickBot="1" x14ac:dyDescent="0.35"/>
    <row r="134" spans="2:8" x14ac:dyDescent="0.3">
      <c r="B134" s="163" t="s">
        <v>2</v>
      </c>
      <c r="C134" s="166" t="s">
        <v>3</v>
      </c>
      <c r="D134" s="166" t="s">
        <v>26</v>
      </c>
      <c r="E134" s="166"/>
      <c r="F134" s="166"/>
      <c r="G134" s="166"/>
      <c r="H134" s="169"/>
    </row>
    <row r="135" spans="2:8" ht="14.4" customHeight="1" x14ac:dyDescent="0.3">
      <c r="B135" s="164"/>
      <c r="C135" s="167"/>
      <c r="D135" s="170" t="s">
        <v>96</v>
      </c>
      <c r="E135" s="118" t="s">
        <v>159</v>
      </c>
      <c r="F135" s="118" t="s">
        <v>160</v>
      </c>
      <c r="G135" s="118" t="s">
        <v>161</v>
      </c>
      <c r="H135" s="1"/>
    </row>
    <row r="136" spans="2:8" x14ac:dyDescent="0.3">
      <c r="B136" s="164"/>
      <c r="C136" s="167"/>
      <c r="D136" s="170"/>
      <c r="E136" s="116" t="s">
        <v>32</v>
      </c>
      <c r="F136" s="116" t="s">
        <v>32</v>
      </c>
      <c r="G136" s="116" t="s">
        <v>32</v>
      </c>
      <c r="H136" s="10"/>
    </row>
    <row r="137" spans="2:8" ht="15" thickBot="1" x14ac:dyDescent="0.35">
      <c r="B137" s="165"/>
      <c r="C137" s="168"/>
      <c r="D137" s="171"/>
      <c r="E137" s="117" t="s">
        <v>33</v>
      </c>
      <c r="F137" s="117" t="s">
        <v>33</v>
      </c>
      <c r="G137" s="117" t="s">
        <v>33</v>
      </c>
      <c r="H137" s="36"/>
    </row>
    <row r="138" spans="2:8" ht="28.8" x14ac:dyDescent="0.3">
      <c r="B138" s="37" t="s">
        <v>69</v>
      </c>
      <c r="C138" s="60" t="s">
        <v>148</v>
      </c>
      <c r="D138" s="71">
        <v>13</v>
      </c>
      <c r="E138" s="71">
        <f>(3.05*1.3)*D138</f>
        <v>51.545000000000002</v>
      </c>
      <c r="F138" s="83">
        <f>(D138-D138*10%)*3.05*1.3</f>
        <v>46.390499999999996</v>
      </c>
      <c r="G138" s="71">
        <f>(D138-D138*20%)*3.05*1.3</f>
        <v>41.235999999999997</v>
      </c>
      <c r="H138" s="72" t="s">
        <v>6</v>
      </c>
    </row>
    <row r="139" spans="2:8" ht="29.4" thickBot="1" x14ac:dyDescent="0.35">
      <c r="B139" s="39" t="s">
        <v>71</v>
      </c>
      <c r="C139" s="63" t="s">
        <v>149</v>
      </c>
      <c r="D139" s="78">
        <v>13</v>
      </c>
      <c r="E139" s="78">
        <f>(3.05*1.3)*D139</f>
        <v>51.545000000000002</v>
      </c>
      <c r="F139" s="85">
        <f>(D139-D139*10%)*3.05*1.3</f>
        <v>46.390499999999996</v>
      </c>
      <c r="G139" s="78">
        <f>(D139-D139*20%)*3.05*1.3</f>
        <v>41.235999999999997</v>
      </c>
      <c r="H139" s="126" t="s">
        <v>6</v>
      </c>
    </row>
    <row r="142" spans="2:8" ht="18" x14ac:dyDescent="0.35">
      <c r="B142" s="172" t="s">
        <v>167</v>
      </c>
      <c r="C142" s="172"/>
      <c r="D142" s="172"/>
      <c r="E142" s="172"/>
      <c r="F142" s="172"/>
      <c r="G142" s="172"/>
      <c r="H142" s="172"/>
    </row>
    <row r="143" spans="2:8" x14ac:dyDescent="0.3">
      <c r="B143" s="162" t="s">
        <v>150</v>
      </c>
      <c r="C143" s="162"/>
      <c r="D143" s="162"/>
      <c r="E143" s="162"/>
      <c r="F143" s="162"/>
      <c r="G143" s="162"/>
      <c r="H143" s="162"/>
    </row>
    <row r="144" spans="2:8" ht="15" thickBot="1" x14ac:dyDescent="0.35"/>
    <row r="145" spans="2:8" x14ac:dyDescent="0.3">
      <c r="B145" s="163" t="s">
        <v>2</v>
      </c>
      <c r="C145" s="166" t="s">
        <v>3</v>
      </c>
      <c r="D145" s="166" t="s">
        <v>26</v>
      </c>
      <c r="E145" s="166"/>
      <c r="F145" s="166"/>
      <c r="G145" s="166"/>
      <c r="H145" s="169"/>
    </row>
    <row r="146" spans="2:8" ht="28.8" x14ac:dyDescent="0.3">
      <c r="B146" s="164"/>
      <c r="C146" s="167"/>
      <c r="D146" s="170" t="s">
        <v>96</v>
      </c>
      <c r="E146" s="118" t="s">
        <v>159</v>
      </c>
      <c r="F146" s="118" t="s">
        <v>160</v>
      </c>
      <c r="G146" s="118" t="s">
        <v>161</v>
      </c>
      <c r="H146" s="1"/>
    </row>
    <row r="147" spans="2:8" x14ac:dyDescent="0.3">
      <c r="B147" s="164"/>
      <c r="C147" s="167"/>
      <c r="D147" s="170"/>
      <c r="E147" s="116" t="s">
        <v>152</v>
      </c>
      <c r="F147" s="116" t="s">
        <v>152</v>
      </c>
      <c r="G147" s="116" t="s">
        <v>152</v>
      </c>
      <c r="H147" s="10"/>
    </row>
    <row r="148" spans="2:8" ht="15" thickBot="1" x14ac:dyDescent="0.35">
      <c r="B148" s="165"/>
      <c r="C148" s="168"/>
      <c r="D148" s="171"/>
      <c r="E148" s="117" t="s">
        <v>153</v>
      </c>
      <c r="F148" s="117" t="s">
        <v>153</v>
      </c>
      <c r="G148" s="117" t="s">
        <v>153</v>
      </c>
      <c r="H148" s="36"/>
    </row>
    <row r="149" spans="2:8" ht="28.8" x14ac:dyDescent="0.3">
      <c r="B149" s="123" t="s">
        <v>151</v>
      </c>
      <c r="C149" s="60" t="s">
        <v>154</v>
      </c>
      <c r="D149" s="71">
        <v>18</v>
      </c>
      <c r="E149" s="71">
        <f>D149*5.58</f>
        <v>100.44</v>
      </c>
      <c r="F149" s="83">
        <f>17*5.58</f>
        <v>94.86</v>
      </c>
      <c r="G149" s="71">
        <f>16*5.58</f>
        <v>89.28</v>
      </c>
      <c r="H149" s="72" t="s">
        <v>6</v>
      </c>
    </row>
    <row r="152" spans="2:8" ht="18" x14ac:dyDescent="0.35">
      <c r="B152" s="172" t="s">
        <v>170</v>
      </c>
      <c r="C152" s="172"/>
      <c r="D152" s="172"/>
      <c r="E152" s="172"/>
      <c r="F152" s="172"/>
      <c r="G152" s="172"/>
      <c r="H152" s="172"/>
    </row>
    <row r="153" spans="2:8" x14ac:dyDescent="0.3">
      <c r="B153" s="162" t="s">
        <v>155</v>
      </c>
      <c r="C153" s="162"/>
      <c r="D153" s="162"/>
      <c r="E153" s="162"/>
      <c r="F153" s="162"/>
      <c r="G153" s="162"/>
      <c r="H153" s="162"/>
    </row>
    <row r="154" spans="2:8" ht="15" thickBot="1" x14ac:dyDescent="0.35"/>
    <row r="155" spans="2:8" x14ac:dyDescent="0.3">
      <c r="B155" s="163" t="s">
        <v>2</v>
      </c>
      <c r="C155" s="166" t="s">
        <v>3</v>
      </c>
      <c r="D155" s="166" t="s">
        <v>26</v>
      </c>
      <c r="E155" s="166"/>
      <c r="F155" s="166"/>
      <c r="G155" s="166"/>
      <c r="H155" s="169"/>
    </row>
    <row r="156" spans="2:8" ht="28.8" x14ac:dyDescent="0.3">
      <c r="B156" s="164"/>
      <c r="C156" s="167"/>
      <c r="D156" s="170" t="s">
        <v>96</v>
      </c>
      <c r="E156" s="118" t="s">
        <v>159</v>
      </c>
      <c r="F156" s="118" t="s">
        <v>160</v>
      </c>
      <c r="G156" s="118" t="s">
        <v>161</v>
      </c>
      <c r="H156" s="1"/>
    </row>
    <row r="157" spans="2:8" x14ac:dyDescent="0.3">
      <c r="B157" s="164"/>
      <c r="C157" s="167"/>
      <c r="D157" s="170"/>
      <c r="E157" s="116" t="s">
        <v>157</v>
      </c>
      <c r="F157" s="116" t="s">
        <v>157</v>
      </c>
      <c r="G157" s="116" t="s">
        <v>157</v>
      </c>
      <c r="H157" s="10"/>
    </row>
    <row r="158" spans="2:8" ht="15" thickBot="1" x14ac:dyDescent="0.35">
      <c r="B158" s="165"/>
      <c r="C158" s="168"/>
      <c r="D158" s="171"/>
      <c r="E158" s="117" t="s">
        <v>158</v>
      </c>
      <c r="F158" s="117" t="s">
        <v>158</v>
      </c>
      <c r="G158" s="117" t="s">
        <v>158</v>
      </c>
      <c r="H158" s="36"/>
    </row>
    <row r="159" spans="2:8" ht="28.8" x14ac:dyDescent="0.3">
      <c r="B159" s="123" t="s">
        <v>156</v>
      </c>
      <c r="C159" s="60" t="s">
        <v>163</v>
      </c>
      <c r="D159" s="71">
        <v>35</v>
      </c>
      <c r="E159" s="71">
        <f>(2.44*1.22)*D159</f>
        <v>104.188</v>
      </c>
      <c r="F159" s="83">
        <f>30*2.44*1.22</f>
        <v>89.304000000000002</v>
      </c>
      <c r="G159" s="71">
        <f>25*2.44*1.22</f>
        <v>74.42</v>
      </c>
      <c r="H159" s="72" t="s">
        <v>6</v>
      </c>
    </row>
    <row r="160" spans="2:8" ht="28.8" x14ac:dyDescent="0.3">
      <c r="B160" s="160" t="s">
        <v>156</v>
      </c>
      <c r="C160" s="25" t="s">
        <v>164</v>
      </c>
      <c r="D160" s="73">
        <v>35</v>
      </c>
      <c r="E160" s="73">
        <f>(2.44*1.22)*D160</f>
        <v>104.188</v>
      </c>
      <c r="F160" s="84">
        <f>30*2.44*1.22</f>
        <v>89.304000000000002</v>
      </c>
      <c r="G160" s="73">
        <f>25*2.44*1.22</f>
        <v>74.42</v>
      </c>
      <c r="H160" s="74" t="s">
        <v>6</v>
      </c>
    </row>
    <row r="161" spans="2:8" ht="28.8" x14ac:dyDescent="0.3">
      <c r="B161" s="160" t="s">
        <v>156</v>
      </c>
      <c r="C161" s="25" t="s">
        <v>165</v>
      </c>
      <c r="D161" s="73">
        <v>35</v>
      </c>
      <c r="E161" s="73">
        <f>(2.44*1.22)*D161</f>
        <v>104.188</v>
      </c>
      <c r="F161" s="84">
        <f>30*2.44*1.22</f>
        <v>89.304000000000002</v>
      </c>
      <c r="G161" s="73">
        <f>25*2.44*1.22</f>
        <v>74.42</v>
      </c>
      <c r="H161" s="74" t="s">
        <v>6</v>
      </c>
    </row>
    <row r="162" spans="2:8" ht="28.8" x14ac:dyDescent="0.3">
      <c r="B162" s="160" t="s">
        <v>156</v>
      </c>
      <c r="C162" s="25" t="s">
        <v>162</v>
      </c>
      <c r="D162" s="73">
        <v>35</v>
      </c>
      <c r="E162" s="73">
        <f>(2.44*1.22)*D162</f>
        <v>104.188</v>
      </c>
      <c r="F162" s="84">
        <f>30*2.44*1.22</f>
        <v>89.304000000000002</v>
      </c>
      <c r="G162" s="73">
        <f>25*2.44*1.22</f>
        <v>74.42</v>
      </c>
      <c r="H162" s="74" t="s">
        <v>6</v>
      </c>
    </row>
    <row r="163" spans="2:8" ht="29.4" thickBot="1" x14ac:dyDescent="0.35">
      <c r="B163" s="161" t="s">
        <v>156</v>
      </c>
      <c r="C163" s="63" t="s">
        <v>166</v>
      </c>
      <c r="D163" s="78">
        <v>35</v>
      </c>
      <c r="E163" s="78">
        <f>(2.44*1.22)*D163</f>
        <v>104.188</v>
      </c>
      <c r="F163" s="85">
        <f>30*2.44*1.22</f>
        <v>89.304000000000002</v>
      </c>
      <c r="G163" s="78">
        <f>25*2.44*1.22</f>
        <v>74.42</v>
      </c>
      <c r="H163" s="81" t="s">
        <v>6</v>
      </c>
    </row>
    <row r="165" spans="2:8" ht="18" x14ac:dyDescent="0.35">
      <c r="B165" s="178" t="s">
        <v>134</v>
      </c>
      <c r="C165" s="178"/>
      <c r="D165" s="178"/>
      <c r="E165" s="178"/>
      <c r="F165" s="178"/>
      <c r="G165" s="178"/>
      <c r="H165" s="178"/>
    </row>
    <row r="166" spans="2:8" x14ac:dyDescent="0.3">
      <c r="B166" s="179" t="s">
        <v>123</v>
      </c>
      <c r="C166" s="179"/>
      <c r="D166" s="179"/>
      <c r="E166" s="179"/>
      <c r="F166" s="179"/>
      <c r="G166" s="179"/>
      <c r="H166" s="179"/>
    </row>
    <row r="167" spans="2:8" ht="15" thickBot="1" x14ac:dyDescent="0.35"/>
    <row r="168" spans="2:8" x14ac:dyDescent="0.3">
      <c r="B168" s="163" t="s">
        <v>2</v>
      </c>
      <c r="C168" s="166" t="s">
        <v>3</v>
      </c>
      <c r="D168" s="166" t="s">
        <v>26</v>
      </c>
      <c r="E168" s="166"/>
      <c r="F168" s="166"/>
      <c r="G168" s="166"/>
      <c r="H168" s="169"/>
    </row>
    <row r="169" spans="2:8" x14ac:dyDescent="0.3">
      <c r="B169" s="164"/>
      <c r="C169" s="167"/>
      <c r="D169" s="170" t="s">
        <v>96</v>
      </c>
      <c r="E169" s="107" t="s">
        <v>41</v>
      </c>
      <c r="F169" s="107"/>
      <c r="G169" s="107"/>
      <c r="H169" s="1"/>
    </row>
    <row r="170" spans="2:8" x14ac:dyDescent="0.3">
      <c r="B170" s="164"/>
      <c r="C170" s="167"/>
      <c r="D170" s="170"/>
      <c r="E170" s="105" t="s">
        <v>135</v>
      </c>
      <c r="F170" s="105"/>
      <c r="G170" s="105"/>
      <c r="H170" s="10"/>
    </row>
    <row r="171" spans="2:8" ht="15" thickBot="1" x14ac:dyDescent="0.35">
      <c r="B171" s="165"/>
      <c r="C171" s="168"/>
      <c r="D171" s="171"/>
      <c r="E171" s="106" t="s">
        <v>124</v>
      </c>
      <c r="F171" s="35"/>
      <c r="G171" s="35"/>
      <c r="H171" s="36"/>
    </row>
    <row r="172" spans="2:8" ht="58.2" thickBot="1" x14ac:dyDescent="0.35">
      <c r="B172" s="108" t="s">
        <v>92</v>
      </c>
      <c r="C172" s="66" t="s">
        <v>129</v>
      </c>
      <c r="D172" s="86">
        <v>70</v>
      </c>
      <c r="E172" s="86">
        <f>(2.8*1.3)*D172</f>
        <v>254.79999999999998</v>
      </c>
      <c r="F172" s="87" t="s">
        <v>6</v>
      </c>
      <c r="G172" s="86" t="s">
        <v>6</v>
      </c>
      <c r="H172" s="88" t="s">
        <v>6</v>
      </c>
    </row>
    <row r="174" spans="2:8" ht="18" x14ac:dyDescent="0.35">
      <c r="B174" s="178" t="s">
        <v>128</v>
      </c>
      <c r="C174" s="178"/>
      <c r="D174" s="178"/>
      <c r="E174" s="178"/>
      <c r="F174" s="178"/>
      <c r="G174" s="178"/>
      <c r="H174" s="178"/>
    </row>
    <row r="175" spans="2:8" ht="15" thickBot="1" x14ac:dyDescent="0.35"/>
    <row r="176" spans="2:8" ht="15" thickBot="1" x14ac:dyDescent="0.35">
      <c r="B176" s="103" t="s">
        <v>126</v>
      </c>
      <c r="C176" s="104" t="s">
        <v>3</v>
      </c>
      <c r="D176" s="166" t="s">
        <v>127</v>
      </c>
      <c r="E176" s="166"/>
      <c r="F176" s="166"/>
      <c r="G176" s="166"/>
      <c r="H176" s="169"/>
    </row>
    <row r="177" spans="2:8" ht="15" customHeight="1" thickBot="1" x14ac:dyDescent="0.35">
      <c r="B177" s="108" t="s">
        <v>125</v>
      </c>
      <c r="C177" s="66" t="s">
        <v>89</v>
      </c>
      <c r="D177" s="183">
        <v>0.6</v>
      </c>
      <c r="E177" s="184"/>
      <c r="F177" s="184"/>
      <c r="G177" s="184"/>
      <c r="H177" s="185"/>
    </row>
    <row r="179" spans="2:8" ht="18" x14ac:dyDescent="0.35">
      <c r="B179" s="178" t="s">
        <v>115</v>
      </c>
      <c r="C179" s="178"/>
      <c r="D179" s="178"/>
      <c r="E179" s="178"/>
      <c r="F179" s="178"/>
      <c r="G179" s="178"/>
      <c r="H179" s="178"/>
    </row>
    <row r="180" spans="2:8" x14ac:dyDescent="0.3">
      <c r="B180" s="179" t="s">
        <v>1</v>
      </c>
      <c r="C180" s="179"/>
      <c r="D180" s="179"/>
      <c r="E180" s="179"/>
      <c r="F180" s="179"/>
      <c r="G180" s="179"/>
      <c r="H180" s="179"/>
    </row>
    <row r="181" spans="2:8" ht="15" thickBot="1" x14ac:dyDescent="0.35"/>
    <row r="182" spans="2:8" x14ac:dyDescent="0.3">
      <c r="B182" s="163" t="s">
        <v>2</v>
      </c>
      <c r="C182" s="166" t="s">
        <v>3</v>
      </c>
      <c r="D182" s="166" t="s">
        <v>26</v>
      </c>
      <c r="E182" s="166"/>
      <c r="F182" s="166"/>
      <c r="G182" s="166"/>
      <c r="H182" s="169"/>
    </row>
    <row r="183" spans="2:8" x14ac:dyDescent="0.3">
      <c r="B183" s="164"/>
      <c r="C183" s="167"/>
      <c r="D183" s="170" t="s">
        <v>96</v>
      </c>
      <c r="E183" s="171" t="s">
        <v>118</v>
      </c>
      <c r="F183" s="96" t="s">
        <v>41</v>
      </c>
      <c r="G183" s="96"/>
      <c r="H183" s="1"/>
    </row>
    <row r="184" spans="2:8" x14ac:dyDescent="0.3">
      <c r="B184" s="164"/>
      <c r="C184" s="167"/>
      <c r="D184" s="170"/>
      <c r="E184" s="186"/>
      <c r="F184" s="95" t="s">
        <v>122</v>
      </c>
      <c r="G184" s="95"/>
      <c r="H184" s="10"/>
    </row>
    <row r="185" spans="2:8" ht="15" thickBot="1" x14ac:dyDescent="0.35">
      <c r="B185" s="165"/>
      <c r="C185" s="168"/>
      <c r="D185" s="171"/>
      <c r="E185" s="186"/>
      <c r="F185" s="35" t="s">
        <v>119</v>
      </c>
      <c r="G185" s="35"/>
      <c r="H185" s="36"/>
    </row>
    <row r="186" spans="2:8" ht="28.8" x14ac:dyDescent="0.3">
      <c r="B186" s="98" t="s">
        <v>116</v>
      </c>
      <c r="C186" s="60" t="s">
        <v>117</v>
      </c>
      <c r="D186" s="71">
        <v>57</v>
      </c>
      <c r="E186" s="99">
        <v>5</v>
      </c>
      <c r="F186" s="83">
        <f>D186*3</f>
        <v>171</v>
      </c>
      <c r="G186" s="71" t="s">
        <v>6</v>
      </c>
      <c r="H186" s="72" t="s">
        <v>6</v>
      </c>
    </row>
    <row r="187" spans="2:8" x14ac:dyDescent="0.3">
      <c r="B187" s="102"/>
      <c r="C187" s="25" t="s">
        <v>176</v>
      </c>
      <c r="D187" s="73">
        <v>41</v>
      </c>
      <c r="E187" s="101">
        <v>3</v>
      </c>
      <c r="F187" s="84">
        <f t="shared" ref="F187:F204" si="12">D187*3</f>
        <v>123</v>
      </c>
      <c r="G187" s="73" t="s">
        <v>6</v>
      </c>
      <c r="H187" s="74" t="s">
        <v>6</v>
      </c>
    </row>
    <row r="188" spans="2:8" x14ac:dyDescent="0.3">
      <c r="B188" s="102"/>
      <c r="C188" s="25" t="s">
        <v>177</v>
      </c>
      <c r="D188" s="73">
        <v>42</v>
      </c>
      <c r="E188" s="101">
        <v>3</v>
      </c>
      <c r="F188" s="84">
        <f t="shared" si="12"/>
        <v>126</v>
      </c>
      <c r="G188" s="133" t="s">
        <v>6</v>
      </c>
      <c r="H188" s="136" t="s">
        <v>6</v>
      </c>
    </row>
    <row r="189" spans="2:8" x14ac:dyDescent="0.3">
      <c r="B189" s="102"/>
      <c r="C189" s="25" t="s">
        <v>178</v>
      </c>
      <c r="D189" s="73">
        <v>37</v>
      </c>
      <c r="E189" s="101">
        <v>3</v>
      </c>
      <c r="F189" s="84">
        <f t="shared" si="12"/>
        <v>111</v>
      </c>
      <c r="G189" s="133" t="s">
        <v>6</v>
      </c>
      <c r="H189" s="136" t="s">
        <v>6</v>
      </c>
    </row>
    <row r="190" spans="2:8" x14ac:dyDescent="0.3">
      <c r="B190" s="102"/>
      <c r="C190" s="25" t="s">
        <v>179</v>
      </c>
      <c r="D190" s="73">
        <v>37</v>
      </c>
      <c r="E190" s="101">
        <v>3</v>
      </c>
      <c r="F190" s="84">
        <f t="shared" si="12"/>
        <v>111</v>
      </c>
      <c r="G190" s="133" t="s">
        <v>6</v>
      </c>
      <c r="H190" s="136" t="s">
        <v>6</v>
      </c>
    </row>
    <row r="191" spans="2:8" x14ac:dyDescent="0.3">
      <c r="B191" s="102"/>
      <c r="C191" s="25" t="s">
        <v>180</v>
      </c>
      <c r="D191" s="73">
        <v>38</v>
      </c>
      <c r="E191" s="101">
        <v>3</v>
      </c>
      <c r="F191" s="84">
        <f t="shared" si="12"/>
        <v>114</v>
      </c>
      <c r="G191" s="133" t="s">
        <v>6</v>
      </c>
      <c r="H191" s="136" t="s">
        <v>6</v>
      </c>
    </row>
    <row r="192" spans="2:8" x14ac:dyDescent="0.3">
      <c r="B192" s="102"/>
      <c r="C192" s="25" t="s">
        <v>181</v>
      </c>
      <c r="D192" s="73">
        <v>36</v>
      </c>
      <c r="E192" s="101">
        <v>3</v>
      </c>
      <c r="F192" s="84">
        <f t="shared" si="12"/>
        <v>108</v>
      </c>
      <c r="G192" s="133" t="s">
        <v>6</v>
      </c>
      <c r="H192" s="136" t="s">
        <v>6</v>
      </c>
    </row>
    <row r="193" spans="2:8" x14ac:dyDescent="0.3">
      <c r="B193" s="102"/>
      <c r="C193" s="25" t="s">
        <v>182</v>
      </c>
      <c r="D193" s="73">
        <v>36</v>
      </c>
      <c r="E193" s="101">
        <v>3</v>
      </c>
      <c r="F193" s="84">
        <f t="shared" si="12"/>
        <v>108</v>
      </c>
      <c r="G193" s="133" t="s">
        <v>6</v>
      </c>
      <c r="H193" s="136" t="s">
        <v>6</v>
      </c>
    </row>
    <row r="194" spans="2:8" x14ac:dyDescent="0.3">
      <c r="B194" s="102"/>
      <c r="C194" s="25" t="s">
        <v>183</v>
      </c>
      <c r="D194" s="73">
        <v>40</v>
      </c>
      <c r="E194" s="101">
        <v>3</v>
      </c>
      <c r="F194" s="84">
        <f t="shared" si="12"/>
        <v>120</v>
      </c>
      <c r="G194" s="133" t="s">
        <v>6</v>
      </c>
      <c r="H194" s="136" t="s">
        <v>6</v>
      </c>
    </row>
    <row r="195" spans="2:8" x14ac:dyDescent="0.3">
      <c r="B195" s="102"/>
      <c r="C195" s="25" t="s">
        <v>184</v>
      </c>
      <c r="D195" s="73">
        <v>39</v>
      </c>
      <c r="E195" s="101">
        <v>5</v>
      </c>
      <c r="F195" s="84">
        <f t="shared" si="12"/>
        <v>117</v>
      </c>
      <c r="G195" s="133" t="s">
        <v>6</v>
      </c>
      <c r="H195" s="136" t="s">
        <v>6</v>
      </c>
    </row>
    <row r="196" spans="2:8" x14ac:dyDescent="0.3">
      <c r="B196" s="102"/>
      <c r="C196" s="25" t="s">
        <v>185</v>
      </c>
      <c r="D196" s="73">
        <v>31</v>
      </c>
      <c r="E196" s="101">
        <v>3</v>
      </c>
      <c r="F196" s="84">
        <f t="shared" si="12"/>
        <v>93</v>
      </c>
      <c r="G196" s="133" t="s">
        <v>6</v>
      </c>
      <c r="H196" s="136" t="s">
        <v>6</v>
      </c>
    </row>
    <row r="197" spans="2:8" x14ac:dyDescent="0.3">
      <c r="B197" s="102"/>
      <c r="C197" s="25" t="s">
        <v>186</v>
      </c>
      <c r="D197" s="73">
        <v>45</v>
      </c>
      <c r="E197" s="101">
        <v>5</v>
      </c>
      <c r="F197" s="84">
        <f t="shared" si="12"/>
        <v>135</v>
      </c>
      <c r="G197" s="133" t="s">
        <v>6</v>
      </c>
      <c r="H197" s="136" t="s">
        <v>6</v>
      </c>
    </row>
    <row r="198" spans="2:8" x14ac:dyDescent="0.3">
      <c r="B198" s="102"/>
      <c r="C198" s="25" t="s">
        <v>187</v>
      </c>
      <c r="D198" s="73">
        <v>45</v>
      </c>
      <c r="E198" s="101">
        <v>5</v>
      </c>
      <c r="F198" s="84">
        <f t="shared" si="12"/>
        <v>135</v>
      </c>
      <c r="G198" s="133" t="s">
        <v>6</v>
      </c>
      <c r="H198" s="136" t="s">
        <v>6</v>
      </c>
    </row>
    <row r="199" spans="2:8" x14ac:dyDescent="0.3">
      <c r="B199" s="131" t="s">
        <v>192</v>
      </c>
      <c r="C199" s="25" t="s">
        <v>188</v>
      </c>
      <c r="D199" s="73">
        <v>32</v>
      </c>
      <c r="E199" s="101">
        <v>3</v>
      </c>
      <c r="F199" s="84">
        <f t="shared" si="12"/>
        <v>96</v>
      </c>
      <c r="G199" s="133" t="s">
        <v>6</v>
      </c>
      <c r="H199" s="136" t="s">
        <v>6</v>
      </c>
    </row>
    <row r="200" spans="2:8" x14ac:dyDescent="0.3">
      <c r="B200" s="102"/>
      <c r="C200" s="25" t="s">
        <v>189</v>
      </c>
      <c r="D200" s="73">
        <v>31</v>
      </c>
      <c r="E200" s="101">
        <v>3</v>
      </c>
      <c r="F200" s="84">
        <f t="shared" si="12"/>
        <v>93</v>
      </c>
      <c r="G200" s="133" t="s">
        <v>6</v>
      </c>
      <c r="H200" s="136" t="s">
        <v>6</v>
      </c>
    </row>
    <row r="201" spans="2:8" x14ac:dyDescent="0.3">
      <c r="B201" s="102"/>
      <c r="C201" s="25" t="s">
        <v>190</v>
      </c>
      <c r="D201" s="73">
        <v>50</v>
      </c>
      <c r="E201" s="101">
        <v>3</v>
      </c>
      <c r="F201" s="84">
        <f t="shared" si="12"/>
        <v>150</v>
      </c>
      <c r="G201" s="133" t="s">
        <v>6</v>
      </c>
      <c r="H201" s="136" t="s">
        <v>6</v>
      </c>
    </row>
    <row r="202" spans="2:8" x14ac:dyDescent="0.3">
      <c r="B202" s="127"/>
      <c r="C202" s="128" t="s">
        <v>193</v>
      </c>
      <c r="D202" s="129">
        <v>44</v>
      </c>
      <c r="E202" s="130">
        <v>3</v>
      </c>
      <c r="F202" s="132">
        <f t="shared" si="12"/>
        <v>132</v>
      </c>
      <c r="G202" s="134" t="s">
        <v>6</v>
      </c>
      <c r="H202" s="137" t="s">
        <v>6</v>
      </c>
    </row>
    <row r="203" spans="2:8" x14ac:dyDescent="0.3">
      <c r="B203" s="127"/>
      <c r="C203" s="128" t="s">
        <v>194</v>
      </c>
      <c r="D203" s="129">
        <v>44</v>
      </c>
      <c r="E203" s="130">
        <v>3</v>
      </c>
      <c r="F203" s="132">
        <f t="shared" si="12"/>
        <v>132</v>
      </c>
      <c r="G203" s="134" t="s">
        <v>6</v>
      </c>
      <c r="H203" s="137" t="s">
        <v>6</v>
      </c>
    </row>
    <row r="204" spans="2:8" ht="15" thickBot="1" x14ac:dyDescent="0.35">
      <c r="B204" s="97"/>
      <c r="C204" s="63" t="s">
        <v>191</v>
      </c>
      <c r="D204" s="78">
        <v>32</v>
      </c>
      <c r="E204" s="100">
        <v>3</v>
      </c>
      <c r="F204" s="85">
        <f t="shared" si="12"/>
        <v>96</v>
      </c>
      <c r="G204" s="135" t="s">
        <v>6</v>
      </c>
      <c r="H204" s="138" t="s">
        <v>6</v>
      </c>
    </row>
    <row r="206" spans="2:8" x14ac:dyDescent="0.3">
      <c r="B206" s="181" t="s">
        <v>97</v>
      </c>
      <c r="C206" s="181"/>
      <c r="D206" s="181"/>
      <c r="E206" s="181"/>
      <c r="F206" s="181"/>
      <c r="G206" s="181"/>
      <c r="H206" s="181"/>
    </row>
    <row r="207" spans="2:8" ht="15" customHeight="1" x14ac:dyDescent="0.3">
      <c r="B207" s="182" t="s">
        <v>98</v>
      </c>
      <c r="C207" s="182"/>
      <c r="D207" s="182"/>
      <c r="E207" s="182"/>
      <c r="F207" s="182"/>
      <c r="G207" s="182"/>
      <c r="H207" s="182"/>
    </row>
    <row r="208" spans="2:8" ht="33" customHeight="1" x14ac:dyDescent="0.3">
      <c r="B208" s="182" t="s">
        <v>131</v>
      </c>
      <c r="C208" s="182"/>
      <c r="D208" s="182"/>
      <c r="E208" s="182"/>
      <c r="F208" s="182"/>
      <c r="G208" s="182"/>
      <c r="H208" s="182"/>
    </row>
    <row r="209" spans="2:8" x14ac:dyDescent="0.3">
      <c r="B209" s="109" t="s">
        <v>132</v>
      </c>
      <c r="C209" s="109"/>
      <c r="D209" s="109"/>
      <c r="E209" s="109"/>
      <c r="F209" s="109"/>
      <c r="G209" s="109"/>
      <c r="H209" s="109"/>
    </row>
    <row r="210" spans="2:8" x14ac:dyDescent="0.3">
      <c r="B210" s="109" t="s">
        <v>133</v>
      </c>
    </row>
    <row r="212" spans="2:8" x14ac:dyDescent="0.3">
      <c r="B212" t="s">
        <v>173</v>
      </c>
    </row>
    <row r="213" spans="2:8" x14ac:dyDescent="0.3">
      <c r="B213" t="s">
        <v>174</v>
      </c>
    </row>
    <row r="215" spans="2:8" x14ac:dyDescent="0.3">
      <c r="B215" t="s">
        <v>78</v>
      </c>
    </row>
    <row r="216" spans="2:8" x14ac:dyDescent="0.3">
      <c r="B216" t="s">
        <v>74</v>
      </c>
    </row>
    <row r="217" spans="2:8" x14ac:dyDescent="0.3">
      <c r="B217" t="s">
        <v>75</v>
      </c>
    </row>
    <row r="218" spans="2:8" x14ac:dyDescent="0.3">
      <c r="B218" t="s">
        <v>76</v>
      </c>
    </row>
    <row r="219" spans="2:8" x14ac:dyDescent="0.3">
      <c r="B219" t="s">
        <v>77</v>
      </c>
    </row>
    <row r="220" spans="2:8" x14ac:dyDescent="0.3">
      <c r="B220" t="s">
        <v>85</v>
      </c>
    </row>
  </sheetData>
  <mergeCells count="87">
    <mergeCell ref="B55:H55"/>
    <mergeCell ref="B56:H56"/>
    <mergeCell ref="B58:B61"/>
    <mergeCell ref="C58:C61"/>
    <mergeCell ref="D58:H58"/>
    <mergeCell ref="D59:D61"/>
    <mergeCell ref="B182:B185"/>
    <mergeCell ref="C182:C185"/>
    <mergeCell ref="D182:H182"/>
    <mergeCell ref="D183:D185"/>
    <mergeCell ref="E183:E185"/>
    <mergeCell ref="C124:C127"/>
    <mergeCell ref="D124:H124"/>
    <mergeCell ref="D125:D127"/>
    <mergeCell ref="B179:H179"/>
    <mergeCell ref="B180:H180"/>
    <mergeCell ref="D176:H176"/>
    <mergeCell ref="D177:H177"/>
    <mergeCell ref="B174:H174"/>
    <mergeCell ref="B165:H165"/>
    <mergeCell ref="B166:H166"/>
    <mergeCell ref="B168:B171"/>
    <mergeCell ref="C168:C171"/>
    <mergeCell ref="D168:H168"/>
    <mergeCell ref="D169:D171"/>
    <mergeCell ref="B132:H132"/>
    <mergeCell ref="B134:B137"/>
    <mergeCell ref="B43:H43"/>
    <mergeCell ref="B44:H44"/>
    <mergeCell ref="B206:H206"/>
    <mergeCell ref="B207:H207"/>
    <mergeCell ref="B208:H208"/>
    <mergeCell ref="B85:H85"/>
    <mergeCell ref="B86:H86"/>
    <mergeCell ref="B88:B91"/>
    <mergeCell ref="C88:C91"/>
    <mergeCell ref="D88:H88"/>
    <mergeCell ref="D89:D91"/>
    <mergeCell ref="B102:H102"/>
    <mergeCell ref="B103:H103"/>
    <mergeCell ref="B105:B108"/>
    <mergeCell ref="C105:C108"/>
    <mergeCell ref="D105:H105"/>
    <mergeCell ref="B29:H29"/>
    <mergeCell ref="B30:H30"/>
    <mergeCell ref="B32:B35"/>
    <mergeCell ref="C32:C35"/>
    <mergeCell ref="D32:H32"/>
    <mergeCell ref="D33:D35"/>
    <mergeCell ref="B15:H15"/>
    <mergeCell ref="B16:H16"/>
    <mergeCell ref="B17:H17"/>
    <mergeCell ref="B19:B22"/>
    <mergeCell ref="C19:C22"/>
    <mergeCell ref="D19:H19"/>
    <mergeCell ref="D20:D22"/>
    <mergeCell ref="B46:B49"/>
    <mergeCell ref="C46:C49"/>
    <mergeCell ref="D46:H46"/>
    <mergeCell ref="D47:D49"/>
    <mergeCell ref="B131:H131"/>
    <mergeCell ref="B53:H53"/>
    <mergeCell ref="D106:D108"/>
    <mergeCell ref="B121:H121"/>
    <mergeCell ref="B72:H72"/>
    <mergeCell ref="B73:H73"/>
    <mergeCell ref="D75:H75"/>
    <mergeCell ref="C75:C78"/>
    <mergeCell ref="B75:B78"/>
    <mergeCell ref="D76:D78"/>
    <mergeCell ref="B122:H122"/>
    <mergeCell ref="B124:B127"/>
    <mergeCell ref="C134:C137"/>
    <mergeCell ref="D134:H134"/>
    <mergeCell ref="D135:D137"/>
    <mergeCell ref="B142:H142"/>
    <mergeCell ref="B143:H143"/>
    <mergeCell ref="B145:B148"/>
    <mergeCell ref="C145:C148"/>
    <mergeCell ref="D145:H145"/>
    <mergeCell ref="D146:D148"/>
    <mergeCell ref="B152:H152"/>
    <mergeCell ref="B153:H153"/>
    <mergeCell ref="B155:B158"/>
    <mergeCell ref="C155:C158"/>
    <mergeCell ref="D155:H155"/>
    <mergeCell ref="D156:D158"/>
  </mergeCells>
  <phoneticPr fontId="29" type="noConversion"/>
  <pageMargins left="0.25" right="0.25" top="0.75" bottom="0.75" header="0.3" footer="0.3"/>
  <pageSetup paperSize="9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8F43-DB70-4F1A-9540-B1755F6324AC}">
  <dimension ref="B2:J135"/>
  <sheetViews>
    <sheetView topLeftCell="A55" workbookViewId="0">
      <selection activeCell="G60" sqref="G60:H62"/>
    </sheetView>
  </sheetViews>
  <sheetFormatPr defaultRowHeight="14.4" x14ac:dyDescent="0.3"/>
  <cols>
    <col min="1" max="1" width="10.5546875" customWidth="1"/>
    <col min="2" max="2" width="18.44140625" customWidth="1"/>
    <col min="3" max="3" width="66.5546875" customWidth="1"/>
    <col min="4" max="4" width="13" customWidth="1"/>
    <col min="5" max="5" width="14.6640625" customWidth="1"/>
    <col min="6" max="6" width="13.44140625" bestFit="1" customWidth="1"/>
    <col min="7" max="7" width="15.44140625" bestFit="1" customWidth="1"/>
    <col min="8" max="8" width="16" bestFit="1" customWidth="1"/>
    <col min="9" max="9" width="10.5546875" customWidth="1"/>
  </cols>
  <sheetData>
    <row r="2" spans="2:8" x14ac:dyDescent="0.3">
      <c r="H2" s="9" t="s">
        <v>16</v>
      </c>
    </row>
    <row r="3" spans="2:8" x14ac:dyDescent="0.3">
      <c r="H3" s="9" t="s">
        <v>17</v>
      </c>
    </row>
    <row r="4" spans="2:8" x14ac:dyDescent="0.3">
      <c r="H4" s="9" t="s">
        <v>18</v>
      </c>
    </row>
    <row r="5" spans="2:8" x14ac:dyDescent="0.3">
      <c r="H5" s="9" t="s">
        <v>19</v>
      </c>
    </row>
    <row r="6" spans="2:8" x14ac:dyDescent="0.3">
      <c r="H6" s="9" t="s">
        <v>20</v>
      </c>
    </row>
    <row r="7" spans="2:8" x14ac:dyDescent="0.3">
      <c r="H7" s="9" t="s">
        <v>21</v>
      </c>
    </row>
    <row r="8" spans="2:8" x14ac:dyDescent="0.3">
      <c r="H8" s="9" t="s">
        <v>22</v>
      </c>
    </row>
    <row r="9" spans="2:8" x14ac:dyDescent="0.3">
      <c r="H9" s="5"/>
    </row>
    <row r="10" spans="2:8" x14ac:dyDescent="0.3">
      <c r="H10" s="5"/>
    </row>
    <row r="11" spans="2:8" x14ac:dyDescent="0.3">
      <c r="G11" s="7" t="s">
        <v>23</v>
      </c>
      <c r="H11" s="8" t="s">
        <v>24</v>
      </c>
    </row>
    <row r="12" spans="2:8" x14ac:dyDescent="0.3">
      <c r="G12" s="7" t="s">
        <v>25</v>
      </c>
      <c r="H12" s="11">
        <v>45566</v>
      </c>
    </row>
    <row r="13" spans="2:8" x14ac:dyDescent="0.3">
      <c r="G13" s="7" t="s">
        <v>28</v>
      </c>
      <c r="H13" s="8" t="s">
        <v>95</v>
      </c>
    </row>
    <row r="14" spans="2:8" x14ac:dyDescent="0.3">
      <c r="G14" s="7"/>
      <c r="H14" s="8"/>
    </row>
    <row r="15" spans="2:8" ht="18" x14ac:dyDescent="0.35">
      <c r="B15" s="176" t="s">
        <v>64</v>
      </c>
      <c r="C15" s="176"/>
      <c r="D15" s="176"/>
      <c r="E15" s="176"/>
      <c r="F15" s="176"/>
      <c r="G15" s="176"/>
      <c r="H15" s="176"/>
    </row>
    <row r="16" spans="2:8" ht="18" x14ac:dyDescent="0.35">
      <c r="B16" s="178" t="s">
        <v>0</v>
      </c>
      <c r="C16" s="178"/>
      <c r="D16" s="178"/>
      <c r="E16" s="178"/>
      <c r="F16" s="178"/>
      <c r="G16" s="178"/>
      <c r="H16" s="178"/>
    </row>
    <row r="17" spans="2:8" x14ac:dyDescent="0.3">
      <c r="B17" s="179" t="s">
        <v>1</v>
      </c>
      <c r="C17" s="179"/>
      <c r="D17" s="179"/>
      <c r="E17" s="179"/>
      <c r="F17" s="179"/>
      <c r="G17" s="179"/>
      <c r="H17" s="179"/>
    </row>
    <row r="18" spans="2:8" ht="15" thickBot="1" x14ac:dyDescent="0.35"/>
    <row r="19" spans="2:8" x14ac:dyDescent="0.3">
      <c r="B19" s="163" t="s">
        <v>2</v>
      </c>
      <c r="C19" s="166" t="s">
        <v>3</v>
      </c>
      <c r="D19" s="166" t="s">
        <v>26</v>
      </c>
      <c r="E19" s="166"/>
      <c r="F19" s="166"/>
      <c r="G19" s="166"/>
      <c r="H19" s="169"/>
    </row>
    <row r="20" spans="2:8" x14ac:dyDescent="0.3">
      <c r="B20" s="164"/>
      <c r="C20" s="167"/>
      <c r="D20" s="170" t="s">
        <v>96</v>
      </c>
      <c r="E20" s="115" t="s">
        <v>41</v>
      </c>
      <c r="F20" s="115" t="s">
        <v>42</v>
      </c>
      <c r="G20" s="115" t="s">
        <v>41</v>
      </c>
      <c r="H20" s="1" t="s">
        <v>43</v>
      </c>
    </row>
    <row r="21" spans="2:8" x14ac:dyDescent="0.3">
      <c r="B21" s="164"/>
      <c r="C21" s="167"/>
      <c r="D21" s="170"/>
      <c r="E21" s="113" t="s">
        <v>10</v>
      </c>
      <c r="F21" s="113" t="s">
        <v>9</v>
      </c>
      <c r="G21" s="113" t="s">
        <v>14</v>
      </c>
      <c r="H21" s="10" t="s">
        <v>8</v>
      </c>
    </row>
    <row r="22" spans="2:8" ht="15" thickBot="1" x14ac:dyDescent="0.35">
      <c r="B22" s="165"/>
      <c r="C22" s="168"/>
      <c r="D22" s="171"/>
      <c r="E22" s="114" t="s">
        <v>27</v>
      </c>
      <c r="F22" s="35" t="s">
        <v>58</v>
      </c>
      <c r="G22" s="35" t="s">
        <v>60</v>
      </c>
      <c r="H22" s="36" t="s">
        <v>59</v>
      </c>
    </row>
    <row r="23" spans="2:8" ht="28.8" x14ac:dyDescent="0.3">
      <c r="B23" s="17" t="s">
        <v>7</v>
      </c>
      <c r="C23" s="60" t="s">
        <v>66</v>
      </c>
      <c r="D23" s="71">
        <v>131.52000000000001</v>
      </c>
      <c r="E23" s="71">
        <f>(4.1*1.3)*D23</f>
        <v>701.00160000000005</v>
      </c>
      <c r="F23" s="71">
        <f>((4.1*0.648)*D23)+10</f>
        <v>359.42233600000003</v>
      </c>
      <c r="G23" s="71" t="s">
        <v>6</v>
      </c>
      <c r="H23" s="72" t="s">
        <v>6</v>
      </c>
    </row>
    <row r="24" spans="2:8" ht="28.8" x14ac:dyDescent="0.3">
      <c r="B24" s="2" t="s">
        <v>11</v>
      </c>
      <c r="C24" s="25" t="s">
        <v>111</v>
      </c>
      <c r="D24" s="73">
        <v>159.36000000000001</v>
      </c>
      <c r="E24" s="73">
        <f>(4.1*1.3)*D24</f>
        <v>849.38880000000006</v>
      </c>
      <c r="F24" s="73">
        <f>((4.1*0.648)*D24)+10</f>
        <v>433.38764800000007</v>
      </c>
      <c r="G24" s="73" t="s">
        <v>6</v>
      </c>
      <c r="H24" s="74" t="s">
        <v>6</v>
      </c>
    </row>
    <row r="25" spans="2:8" ht="28.8" x14ac:dyDescent="0.3">
      <c r="B25" s="2" t="s">
        <v>12</v>
      </c>
      <c r="C25" s="25" t="s">
        <v>112</v>
      </c>
      <c r="D25" s="73">
        <v>104.64</v>
      </c>
      <c r="E25" s="73">
        <f>(4.1*1.3)*D25</f>
        <v>557.73120000000006</v>
      </c>
      <c r="F25" s="73">
        <f>((4.1*0.648)*D25)+10</f>
        <v>288.00755200000003</v>
      </c>
      <c r="G25" s="75" t="s">
        <v>6</v>
      </c>
      <c r="H25" s="76" t="s">
        <v>6</v>
      </c>
    </row>
    <row r="26" spans="2:8" ht="29.4" thickBot="1" x14ac:dyDescent="0.35">
      <c r="B26" s="4" t="s">
        <v>12</v>
      </c>
      <c r="C26" s="63" t="s">
        <v>113</v>
      </c>
      <c r="D26" s="78">
        <v>100.8</v>
      </c>
      <c r="E26" s="78">
        <f>(4.1*1.3)*D26</f>
        <v>537.26400000000001</v>
      </c>
      <c r="F26" s="78">
        <f>((4.1*0.648)*D26)+10</f>
        <v>277.80543999999998</v>
      </c>
      <c r="G26" s="79" t="s">
        <v>6</v>
      </c>
      <c r="H26" s="80" t="s">
        <v>6</v>
      </c>
    </row>
    <row r="27" spans="2:8" ht="29.4" thickBot="1" x14ac:dyDescent="0.35">
      <c r="B27" s="4" t="s">
        <v>12</v>
      </c>
      <c r="C27" s="63" t="s">
        <v>139</v>
      </c>
      <c r="D27" s="78">
        <v>100.8</v>
      </c>
      <c r="E27" s="122" t="s">
        <v>6</v>
      </c>
      <c r="F27" s="122" t="s">
        <v>6</v>
      </c>
      <c r="G27" s="73">
        <f>(4.1*1.854)*D27</f>
        <v>766.22111999999993</v>
      </c>
      <c r="H27" s="74">
        <f>((4.1*0.61)*D27)+10</f>
        <v>262.10079999999999</v>
      </c>
    </row>
    <row r="28" spans="2:8" x14ac:dyDescent="0.3">
      <c r="G28" s="6"/>
      <c r="H28" s="5"/>
    </row>
    <row r="29" spans="2:8" ht="18" x14ac:dyDescent="0.35">
      <c r="B29" s="178" t="s">
        <v>29</v>
      </c>
      <c r="C29" s="178"/>
      <c r="D29" s="178"/>
      <c r="E29" s="178"/>
      <c r="F29" s="178"/>
      <c r="G29" s="178"/>
      <c r="H29" s="178"/>
    </row>
    <row r="30" spans="2:8" x14ac:dyDescent="0.3">
      <c r="B30" s="179" t="s">
        <v>1</v>
      </c>
      <c r="C30" s="179"/>
      <c r="D30" s="179"/>
      <c r="E30" s="179"/>
      <c r="F30" s="179"/>
      <c r="G30" s="179"/>
      <c r="H30" s="179"/>
    </row>
    <row r="31" spans="2:8" ht="15" thickBot="1" x14ac:dyDescent="0.35"/>
    <row r="32" spans="2:8" x14ac:dyDescent="0.3">
      <c r="B32" s="163" t="s">
        <v>2</v>
      </c>
      <c r="C32" s="166" t="s">
        <v>3</v>
      </c>
      <c r="D32" s="166" t="s">
        <v>26</v>
      </c>
      <c r="E32" s="166"/>
      <c r="F32" s="166"/>
      <c r="G32" s="166"/>
      <c r="H32" s="169"/>
    </row>
    <row r="33" spans="2:8" x14ac:dyDescent="0.3">
      <c r="B33" s="164"/>
      <c r="C33" s="167"/>
      <c r="D33" s="170" t="s">
        <v>96</v>
      </c>
      <c r="E33" s="115" t="s">
        <v>41</v>
      </c>
      <c r="F33" s="115" t="s">
        <v>42</v>
      </c>
      <c r="G33" s="115" t="s">
        <v>41</v>
      </c>
      <c r="H33" s="1" t="s">
        <v>43</v>
      </c>
    </row>
    <row r="34" spans="2:8" x14ac:dyDescent="0.3">
      <c r="B34" s="164"/>
      <c r="C34" s="167"/>
      <c r="D34" s="170"/>
      <c r="E34" s="113" t="s">
        <v>32</v>
      </c>
      <c r="F34" s="113" t="s">
        <v>34</v>
      </c>
      <c r="G34" s="113" t="s">
        <v>31</v>
      </c>
      <c r="H34" s="10" t="s">
        <v>35</v>
      </c>
    </row>
    <row r="35" spans="2:8" ht="15" thickBot="1" x14ac:dyDescent="0.35">
      <c r="B35" s="165"/>
      <c r="C35" s="168"/>
      <c r="D35" s="171"/>
      <c r="E35" s="114" t="s">
        <v>33</v>
      </c>
      <c r="F35" s="35" t="s">
        <v>61</v>
      </c>
      <c r="G35" s="35" t="s">
        <v>62</v>
      </c>
      <c r="H35" s="36" t="s">
        <v>63</v>
      </c>
    </row>
    <row r="36" spans="2:8" ht="28.8" x14ac:dyDescent="0.3">
      <c r="B36" s="37" t="s">
        <v>69</v>
      </c>
      <c r="C36" s="60" t="s">
        <v>36</v>
      </c>
      <c r="D36" s="71">
        <v>78.959999999999994</v>
      </c>
      <c r="E36" s="71">
        <f t="shared" ref="E36:E40" si="0">(3.05*1.3)*D36</f>
        <v>313.07639999999998</v>
      </c>
      <c r="F36" s="71">
        <f>((3.05*0.648)*D36)+10</f>
        <v>166.05654399999997</v>
      </c>
      <c r="G36" s="71" t="s">
        <v>6</v>
      </c>
      <c r="H36" s="72" t="s">
        <v>6</v>
      </c>
    </row>
    <row r="37" spans="2:8" ht="28.8" x14ac:dyDescent="0.3">
      <c r="B37" s="38" t="s">
        <v>69</v>
      </c>
      <c r="C37" s="25" t="s">
        <v>37</v>
      </c>
      <c r="D37" s="73">
        <v>148.69999999999999</v>
      </c>
      <c r="E37" s="73">
        <f t="shared" si="0"/>
        <v>589.5954999999999</v>
      </c>
      <c r="F37" s="73">
        <f>((3.05*0.648)*D37)+10</f>
        <v>303.89067999999997</v>
      </c>
      <c r="G37" s="73" t="s">
        <v>6</v>
      </c>
      <c r="H37" s="74" t="s">
        <v>6</v>
      </c>
    </row>
    <row r="38" spans="2:8" ht="29.4" thickBot="1" x14ac:dyDescent="0.35">
      <c r="B38" s="39" t="s">
        <v>71</v>
      </c>
      <c r="C38" s="63" t="s">
        <v>130</v>
      </c>
      <c r="D38" s="78">
        <v>78.959999999999994</v>
      </c>
      <c r="E38" s="78">
        <f t="shared" si="0"/>
        <v>313.07639999999998</v>
      </c>
      <c r="F38" s="78">
        <f>((3.05*0.648)*D38)+10</f>
        <v>166.05654399999997</v>
      </c>
      <c r="G38" s="78" t="s">
        <v>6</v>
      </c>
      <c r="H38" s="81" t="s">
        <v>6</v>
      </c>
    </row>
    <row r="39" spans="2:8" ht="28.8" x14ac:dyDescent="0.3">
      <c r="B39" s="38" t="s">
        <v>70</v>
      </c>
      <c r="C39" s="121" t="s">
        <v>140</v>
      </c>
      <c r="D39" s="73">
        <v>78.959999999999994</v>
      </c>
      <c r="E39" s="73">
        <f t="shared" si="0"/>
        <v>313.07639999999998</v>
      </c>
      <c r="F39" s="73">
        <f>((3.05*0.648)*D39)+10</f>
        <v>166.05654399999997</v>
      </c>
      <c r="G39" s="73" t="s">
        <v>6</v>
      </c>
      <c r="H39" s="74" t="s">
        <v>6</v>
      </c>
    </row>
    <row r="40" spans="2:8" ht="43.8" thickBot="1" x14ac:dyDescent="0.35">
      <c r="B40" s="119" t="s">
        <v>30</v>
      </c>
      <c r="C40" s="63" t="s">
        <v>137</v>
      </c>
      <c r="D40" s="78">
        <v>109.42</v>
      </c>
      <c r="E40" s="78">
        <f t="shared" si="0"/>
        <v>433.8503</v>
      </c>
      <c r="F40" s="78">
        <f>((3.05*0.648)*D40)+10</f>
        <v>226.257688</v>
      </c>
      <c r="G40" s="78" t="s">
        <v>6</v>
      </c>
      <c r="H40" s="81" t="s">
        <v>6</v>
      </c>
    </row>
    <row r="41" spans="2:8" x14ac:dyDescent="0.3">
      <c r="G41" s="6"/>
      <c r="H41" s="5"/>
    </row>
    <row r="42" spans="2:8" ht="18" x14ac:dyDescent="0.35">
      <c r="B42" s="176" t="s">
        <v>68</v>
      </c>
      <c r="C42" s="176"/>
      <c r="D42" s="176"/>
      <c r="E42" s="176"/>
      <c r="F42" s="176"/>
      <c r="G42" s="176"/>
      <c r="H42" s="176"/>
    </row>
    <row r="43" spans="2:8" ht="18" x14ac:dyDescent="0.35">
      <c r="B43" s="178" t="s">
        <v>0</v>
      </c>
      <c r="C43" s="178"/>
      <c r="D43" s="178"/>
      <c r="E43" s="178"/>
      <c r="F43" s="178"/>
      <c r="G43" s="178"/>
      <c r="H43" s="178"/>
    </row>
    <row r="44" spans="2:8" x14ac:dyDescent="0.3">
      <c r="B44" s="179" t="s">
        <v>1</v>
      </c>
      <c r="C44" s="179"/>
      <c r="D44" s="179"/>
      <c r="E44" s="179"/>
      <c r="F44" s="179"/>
      <c r="G44" s="179"/>
      <c r="H44" s="179"/>
    </row>
    <row r="45" spans="2:8" ht="15" thickBot="1" x14ac:dyDescent="0.35"/>
    <row r="46" spans="2:8" ht="15" customHeight="1" x14ac:dyDescent="0.3">
      <c r="B46" s="163" t="s">
        <v>2</v>
      </c>
      <c r="C46" s="166" t="s">
        <v>3</v>
      </c>
      <c r="D46" s="166" t="s">
        <v>26</v>
      </c>
      <c r="E46" s="166"/>
      <c r="F46" s="166"/>
      <c r="G46" s="166"/>
      <c r="H46" s="169"/>
    </row>
    <row r="47" spans="2:8" ht="15" customHeight="1" x14ac:dyDescent="0.3">
      <c r="B47" s="164"/>
      <c r="C47" s="167"/>
      <c r="D47" s="170" t="s">
        <v>96</v>
      </c>
      <c r="E47" s="115" t="s">
        <v>41</v>
      </c>
      <c r="F47" s="115" t="s">
        <v>42</v>
      </c>
      <c r="G47" s="115" t="s">
        <v>41</v>
      </c>
      <c r="H47" s="1" t="s">
        <v>43</v>
      </c>
    </row>
    <row r="48" spans="2:8" x14ac:dyDescent="0.3">
      <c r="B48" s="164"/>
      <c r="C48" s="167"/>
      <c r="D48" s="170"/>
      <c r="E48" s="113" t="s">
        <v>10</v>
      </c>
      <c r="F48" s="113" t="s">
        <v>9</v>
      </c>
      <c r="G48" s="113" t="s">
        <v>14</v>
      </c>
      <c r="H48" s="10" t="s">
        <v>8</v>
      </c>
    </row>
    <row r="49" spans="2:8" ht="15" thickBot="1" x14ac:dyDescent="0.35">
      <c r="B49" s="165"/>
      <c r="C49" s="168"/>
      <c r="D49" s="171"/>
      <c r="E49" s="114" t="s">
        <v>27</v>
      </c>
      <c r="F49" s="35" t="s">
        <v>58</v>
      </c>
      <c r="G49" s="35" t="s">
        <v>60</v>
      </c>
      <c r="H49" s="36" t="s">
        <v>59</v>
      </c>
    </row>
    <row r="50" spans="2:8" ht="28.8" x14ac:dyDescent="0.3">
      <c r="B50" s="37" t="s">
        <v>4</v>
      </c>
      <c r="C50" s="89" t="s">
        <v>99</v>
      </c>
      <c r="D50" s="71">
        <v>192</v>
      </c>
      <c r="E50" s="71">
        <f>(4.1*1.3)*D50</f>
        <v>1023.36</v>
      </c>
      <c r="F50" s="71">
        <f>((4.1*0.648)*D50)+10</f>
        <v>520.10559999999998</v>
      </c>
      <c r="G50" s="71" t="s">
        <v>6</v>
      </c>
      <c r="H50" s="72" t="s">
        <v>6</v>
      </c>
    </row>
    <row r="51" spans="2:8" ht="28.8" x14ac:dyDescent="0.3">
      <c r="B51" s="2" t="s">
        <v>7</v>
      </c>
      <c r="C51" s="90" t="s">
        <v>100</v>
      </c>
      <c r="D51" s="73">
        <v>131.52000000000001</v>
      </c>
      <c r="E51" s="73">
        <f t="shared" ref="E51:E54" si="1">(4.1*1.3)*D51</f>
        <v>701.00160000000005</v>
      </c>
      <c r="F51" s="73">
        <f>((4.1*0.648)*D51)+10</f>
        <v>359.42233600000003</v>
      </c>
      <c r="G51" s="73" t="s">
        <v>6</v>
      </c>
      <c r="H51" s="74" t="s">
        <v>6</v>
      </c>
    </row>
    <row r="52" spans="2:8" ht="28.8" x14ac:dyDescent="0.3">
      <c r="B52" s="2" t="s">
        <v>11</v>
      </c>
      <c r="C52" s="90" t="s">
        <v>101</v>
      </c>
      <c r="D52" s="73">
        <v>159.36000000000001</v>
      </c>
      <c r="E52" s="73">
        <f t="shared" si="1"/>
        <v>849.38880000000006</v>
      </c>
      <c r="F52" s="73">
        <f>((4.1*0.648)*D52)+10</f>
        <v>433.38764800000007</v>
      </c>
      <c r="G52" s="73" t="s">
        <v>6</v>
      </c>
      <c r="H52" s="74" t="s">
        <v>6</v>
      </c>
    </row>
    <row r="53" spans="2:8" ht="28.8" x14ac:dyDescent="0.3">
      <c r="B53" s="2" t="s">
        <v>12</v>
      </c>
      <c r="C53" s="90" t="s">
        <v>102</v>
      </c>
      <c r="D53" s="73">
        <v>104.64</v>
      </c>
      <c r="E53" s="73">
        <f t="shared" si="1"/>
        <v>557.73120000000006</v>
      </c>
      <c r="F53" s="73">
        <f>((4.1*0.648)*D53)+10</f>
        <v>288.00755200000003</v>
      </c>
      <c r="G53" s="73" t="s">
        <v>6</v>
      </c>
      <c r="H53" s="74" t="s">
        <v>6</v>
      </c>
    </row>
    <row r="54" spans="2:8" ht="28.8" x14ac:dyDescent="0.3">
      <c r="B54" s="92" t="s">
        <v>12</v>
      </c>
      <c r="C54" s="90" t="s">
        <v>13</v>
      </c>
      <c r="D54" s="73">
        <v>100.8</v>
      </c>
      <c r="E54" s="73">
        <f t="shared" si="1"/>
        <v>537.26400000000001</v>
      </c>
      <c r="F54" s="73">
        <f>((4.1*0.648)*D54)+10</f>
        <v>277.80543999999998</v>
      </c>
      <c r="G54" s="77">
        <f>(4.1*1.854)*D54</f>
        <v>766.22111999999993</v>
      </c>
      <c r="H54" s="82">
        <f>((4.1*0.61)*D54)+10</f>
        <v>262.10079999999999</v>
      </c>
    </row>
    <row r="56" spans="2:8" ht="18" x14ac:dyDescent="0.35">
      <c r="B56" s="178" t="s">
        <v>29</v>
      </c>
      <c r="C56" s="178"/>
      <c r="D56" s="178"/>
      <c r="E56" s="178"/>
      <c r="F56" s="178"/>
      <c r="G56" s="178"/>
      <c r="H56" s="178"/>
    </row>
    <row r="57" spans="2:8" x14ac:dyDescent="0.3">
      <c r="B57" s="179" t="s">
        <v>1</v>
      </c>
      <c r="C57" s="179"/>
      <c r="D57" s="179"/>
      <c r="E57" s="179"/>
      <c r="F57" s="179"/>
      <c r="G57" s="179"/>
      <c r="H57" s="179"/>
    </row>
    <row r="58" spans="2:8" ht="15" thickBot="1" x14ac:dyDescent="0.35"/>
    <row r="59" spans="2:8" x14ac:dyDescent="0.3">
      <c r="B59" s="163" t="s">
        <v>2</v>
      </c>
      <c r="C59" s="166" t="s">
        <v>3</v>
      </c>
      <c r="D59" s="166" t="s">
        <v>26</v>
      </c>
      <c r="E59" s="166"/>
      <c r="F59" s="166"/>
      <c r="G59" s="166"/>
      <c r="H59" s="169"/>
    </row>
    <row r="60" spans="2:8" ht="15" customHeight="1" x14ac:dyDescent="0.3">
      <c r="B60" s="164"/>
      <c r="C60" s="167"/>
      <c r="D60" s="170" t="s">
        <v>96</v>
      </c>
      <c r="E60" s="115" t="s">
        <v>41</v>
      </c>
      <c r="F60" s="115" t="s">
        <v>42</v>
      </c>
      <c r="G60" s="115" t="s">
        <v>41</v>
      </c>
      <c r="H60" s="1" t="s">
        <v>41</v>
      </c>
    </row>
    <row r="61" spans="2:8" x14ac:dyDescent="0.3">
      <c r="B61" s="164"/>
      <c r="C61" s="167"/>
      <c r="D61" s="170"/>
      <c r="E61" s="113" t="s">
        <v>32</v>
      </c>
      <c r="F61" s="113" t="s">
        <v>34</v>
      </c>
      <c r="G61" s="113" t="s">
        <v>31</v>
      </c>
      <c r="H61" s="10" t="s">
        <v>51</v>
      </c>
    </row>
    <row r="62" spans="2:8" ht="15" thickBot="1" x14ac:dyDescent="0.35">
      <c r="B62" s="165"/>
      <c r="C62" s="168"/>
      <c r="D62" s="171"/>
      <c r="E62" s="114" t="s">
        <v>33</v>
      </c>
      <c r="F62" s="35" t="s">
        <v>61</v>
      </c>
      <c r="G62" s="35" t="s">
        <v>198</v>
      </c>
      <c r="H62" s="36" t="s">
        <v>91</v>
      </c>
    </row>
    <row r="63" spans="2:8" ht="28.8" x14ac:dyDescent="0.3">
      <c r="B63" s="17" t="s">
        <v>30</v>
      </c>
      <c r="C63" s="110" t="s">
        <v>136</v>
      </c>
      <c r="D63" s="71">
        <v>109.42100000000001</v>
      </c>
      <c r="E63" s="150">
        <f>(3.05*1.3)*D63</f>
        <v>433.854265</v>
      </c>
      <c r="F63" s="150">
        <f>((3.05*0.648)*D63)+10</f>
        <v>226.25966440000002</v>
      </c>
      <c r="G63" s="71" t="s">
        <v>6</v>
      </c>
      <c r="H63" s="72" t="s">
        <v>6</v>
      </c>
    </row>
    <row r="64" spans="2:8" ht="28.8" x14ac:dyDescent="0.3">
      <c r="B64" s="144" t="s">
        <v>72</v>
      </c>
      <c r="C64" s="146" t="s">
        <v>195</v>
      </c>
      <c r="D64" s="143">
        <v>78.959999999999994</v>
      </c>
      <c r="E64" s="73">
        <f>(3.05*1.3)*D64</f>
        <v>313.07639999999998</v>
      </c>
      <c r="F64" s="73">
        <f>((3.05*0.648)*D64)+10</f>
        <v>166.05654399999997</v>
      </c>
      <c r="G64" s="147" t="s">
        <v>6</v>
      </c>
      <c r="H64" s="148" t="s">
        <v>6</v>
      </c>
    </row>
    <row r="65" spans="2:10" ht="28.8" x14ac:dyDescent="0.3">
      <c r="B65" s="38" t="s">
        <v>69</v>
      </c>
      <c r="C65" s="90" t="s">
        <v>103</v>
      </c>
      <c r="D65" s="73">
        <v>78.959999999999994</v>
      </c>
      <c r="E65" s="73">
        <f t="shared" ref="E65:E71" si="2">(3.05*1.3)*D65</f>
        <v>313.07639999999998</v>
      </c>
      <c r="F65" s="73">
        <f>((3.05*0.648)*D65)+10</f>
        <v>166.05654399999997</v>
      </c>
      <c r="G65" s="73" t="s">
        <v>6</v>
      </c>
      <c r="H65" s="74" t="s">
        <v>6</v>
      </c>
    </row>
    <row r="66" spans="2:10" ht="28.8" x14ac:dyDescent="0.3">
      <c r="B66" s="38" t="s">
        <v>69</v>
      </c>
      <c r="C66" s="3" t="s">
        <v>37</v>
      </c>
      <c r="D66" s="73">
        <v>148.69999999999999</v>
      </c>
      <c r="E66" s="73">
        <f t="shared" si="2"/>
        <v>589.5954999999999</v>
      </c>
      <c r="F66" s="73">
        <f>((3.05*0.648)*D66)+10</f>
        <v>303.89067999999997</v>
      </c>
      <c r="G66" s="73" t="s">
        <v>6</v>
      </c>
      <c r="H66" s="74" t="s">
        <v>6</v>
      </c>
    </row>
    <row r="67" spans="2:10" ht="28.8" x14ac:dyDescent="0.3">
      <c r="B67" s="38" t="s">
        <v>70</v>
      </c>
      <c r="C67" s="3" t="s">
        <v>38</v>
      </c>
      <c r="D67" s="73">
        <v>78.959999999999994</v>
      </c>
      <c r="E67" s="73">
        <f t="shared" si="2"/>
        <v>313.07639999999998</v>
      </c>
      <c r="F67" s="73">
        <f>((3.05*0.648)*D67)+10</f>
        <v>166.05654399999997</v>
      </c>
      <c r="G67" s="73" t="s">
        <v>6</v>
      </c>
      <c r="H67" s="74" t="s">
        <v>6</v>
      </c>
    </row>
    <row r="68" spans="2:10" ht="28.8" x14ac:dyDescent="0.3">
      <c r="B68" s="145" t="s">
        <v>196</v>
      </c>
      <c r="C68" s="146" t="s">
        <v>197</v>
      </c>
      <c r="D68" s="73">
        <v>78.959999999999994</v>
      </c>
      <c r="E68" s="151" t="s">
        <v>6</v>
      </c>
      <c r="F68" s="151" t="s">
        <v>6</v>
      </c>
      <c r="G68" s="151" t="s">
        <v>6</v>
      </c>
      <c r="H68" s="74">
        <f>D68*5.46</f>
        <v>431.12159999999994</v>
      </c>
    </row>
    <row r="69" spans="2:10" ht="28.8" x14ac:dyDescent="0.3">
      <c r="B69" s="38" t="s">
        <v>71</v>
      </c>
      <c r="C69" s="146" t="s">
        <v>39</v>
      </c>
      <c r="D69" s="73">
        <v>78.959999999999994</v>
      </c>
      <c r="E69" s="73">
        <f t="shared" si="2"/>
        <v>313.07639999999998</v>
      </c>
      <c r="F69" s="73">
        <f>((3.05*0.648)*D69)+10</f>
        <v>166.05654399999997</v>
      </c>
      <c r="G69" s="73" t="s">
        <v>6</v>
      </c>
      <c r="H69" s="74" t="s">
        <v>6</v>
      </c>
    </row>
    <row r="70" spans="2:10" ht="28.8" x14ac:dyDescent="0.3">
      <c r="B70" s="38" t="s">
        <v>72</v>
      </c>
      <c r="C70" s="3" t="s">
        <v>40</v>
      </c>
      <c r="D70" s="73">
        <v>72.209999999999994</v>
      </c>
      <c r="E70" s="73" t="s">
        <v>6</v>
      </c>
      <c r="F70" s="73" t="s">
        <v>6</v>
      </c>
      <c r="G70" s="73">
        <f>(3.66*1.83)*D70</f>
        <v>483.64813800000002</v>
      </c>
      <c r="H70" s="74">
        <f>((3.66*0.605)*D70)+10</f>
        <v>169.89460299999999</v>
      </c>
    </row>
    <row r="71" spans="2:10" ht="29.4" thickBot="1" x14ac:dyDescent="0.35">
      <c r="B71" s="39" t="s">
        <v>72</v>
      </c>
      <c r="C71" s="31" t="s">
        <v>73</v>
      </c>
      <c r="D71" s="78">
        <v>157.44999999999999</v>
      </c>
      <c r="E71" s="78">
        <f t="shared" si="2"/>
        <v>624.28924999999992</v>
      </c>
      <c r="F71" s="78">
        <f>((3.05*0.648)*D71)+10</f>
        <v>321.18417999999997</v>
      </c>
      <c r="G71" s="79" t="s">
        <v>6</v>
      </c>
      <c r="H71" s="80" t="s">
        <v>6</v>
      </c>
    </row>
    <row r="72" spans="2:10" x14ac:dyDescent="0.3">
      <c r="B72" s="22"/>
      <c r="C72" s="22"/>
      <c r="D72" s="23"/>
      <c r="E72" s="23"/>
      <c r="F72" s="23"/>
      <c r="G72" s="23"/>
      <c r="H72" s="23"/>
    </row>
    <row r="73" spans="2:10" ht="18" x14ac:dyDescent="0.35">
      <c r="B73" s="178" t="s">
        <v>50</v>
      </c>
      <c r="C73" s="178"/>
      <c r="D73" s="178"/>
      <c r="E73" s="178"/>
      <c r="F73" s="178"/>
      <c r="G73" s="178"/>
      <c r="H73" s="178"/>
    </row>
    <row r="74" spans="2:10" x14ac:dyDescent="0.3">
      <c r="B74" s="179" t="s">
        <v>1</v>
      </c>
      <c r="C74" s="179"/>
      <c r="D74" s="179"/>
      <c r="E74" s="179"/>
      <c r="F74" s="179"/>
      <c r="G74" s="179"/>
      <c r="H74" s="179"/>
    </row>
    <row r="75" spans="2:10" ht="15" thickBot="1" x14ac:dyDescent="0.35"/>
    <row r="76" spans="2:10" x14ac:dyDescent="0.3">
      <c r="B76" s="163" t="s">
        <v>2</v>
      </c>
      <c r="C76" s="166" t="s">
        <v>3</v>
      </c>
      <c r="D76" s="166" t="s">
        <v>26</v>
      </c>
      <c r="E76" s="166"/>
      <c r="F76" s="166"/>
      <c r="G76" s="166"/>
      <c r="H76" s="169"/>
    </row>
    <row r="77" spans="2:10" x14ac:dyDescent="0.3">
      <c r="B77" s="164"/>
      <c r="C77" s="167"/>
      <c r="D77" s="170" t="s">
        <v>96</v>
      </c>
      <c r="E77" s="115" t="s">
        <v>41</v>
      </c>
      <c r="F77" s="115"/>
      <c r="G77" s="115"/>
      <c r="H77" s="1"/>
    </row>
    <row r="78" spans="2:10" x14ac:dyDescent="0.3">
      <c r="B78" s="164"/>
      <c r="C78" s="167"/>
      <c r="D78" s="170"/>
      <c r="E78" s="113" t="s">
        <v>51</v>
      </c>
      <c r="F78" s="113"/>
      <c r="G78" s="113"/>
      <c r="H78" s="10"/>
    </row>
    <row r="79" spans="2:10" ht="15" thickBot="1" x14ac:dyDescent="0.35">
      <c r="B79" s="165"/>
      <c r="C79" s="168"/>
      <c r="D79" s="171"/>
      <c r="E79" s="114" t="s">
        <v>91</v>
      </c>
      <c r="F79" s="35"/>
      <c r="G79" s="35"/>
      <c r="H79" s="36"/>
    </row>
    <row r="80" spans="2:10" ht="28.8" x14ac:dyDescent="0.3">
      <c r="B80" s="59" t="s">
        <v>52</v>
      </c>
      <c r="C80" s="60" t="s">
        <v>106</v>
      </c>
      <c r="D80" s="71">
        <f>E80/(4.2*1.3)</f>
        <v>119.09340659340657</v>
      </c>
      <c r="E80" s="71">
        <f>J80-J80*15%</f>
        <v>650.25</v>
      </c>
      <c r="F80" s="83" t="s">
        <v>6</v>
      </c>
      <c r="G80" s="71" t="s">
        <v>6</v>
      </c>
      <c r="H80" s="72" t="s">
        <v>6</v>
      </c>
      <c r="J80">
        <v>765</v>
      </c>
    </row>
    <row r="81" spans="2:10" ht="28.8" x14ac:dyDescent="0.3">
      <c r="B81" s="24" t="s">
        <v>52</v>
      </c>
      <c r="C81" s="25" t="s">
        <v>107</v>
      </c>
      <c r="D81" s="73">
        <f>E81/(4.2*1.3)</f>
        <v>122.20695970695969</v>
      </c>
      <c r="E81" s="73">
        <f t="shared" ref="E81:E88" si="3">J81-J81*15%</f>
        <v>667.25</v>
      </c>
      <c r="F81" s="84" t="s">
        <v>6</v>
      </c>
      <c r="G81" s="73" t="s">
        <v>6</v>
      </c>
      <c r="H81" s="74" t="s">
        <v>6</v>
      </c>
      <c r="J81">
        <v>785</v>
      </c>
    </row>
    <row r="82" spans="2:10" ht="28.8" x14ac:dyDescent="0.3">
      <c r="B82" s="24" t="s">
        <v>52</v>
      </c>
      <c r="C82" s="25" t="s">
        <v>108</v>
      </c>
      <c r="D82" s="73">
        <f>E82/(4.2*1.3)</f>
        <v>124.85347985347984</v>
      </c>
      <c r="E82" s="73">
        <f t="shared" si="3"/>
        <v>681.7</v>
      </c>
      <c r="F82" s="93" t="s">
        <v>6</v>
      </c>
      <c r="G82" s="93" t="s">
        <v>6</v>
      </c>
      <c r="H82" s="94" t="s">
        <v>6</v>
      </c>
      <c r="J82">
        <v>802</v>
      </c>
    </row>
    <row r="83" spans="2:10" ht="28.8" x14ac:dyDescent="0.3">
      <c r="B83" s="24" t="s">
        <v>52</v>
      </c>
      <c r="C83" s="25" t="s">
        <v>109</v>
      </c>
      <c r="D83" s="73">
        <f>E83/(4.2*1.3)</f>
        <v>120.33882783882781</v>
      </c>
      <c r="E83" s="73">
        <f t="shared" si="3"/>
        <v>657.05</v>
      </c>
      <c r="F83" s="93" t="s">
        <v>6</v>
      </c>
      <c r="G83" s="93" t="s">
        <v>6</v>
      </c>
      <c r="H83" s="94" t="s">
        <v>6</v>
      </c>
      <c r="J83">
        <v>773</v>
      </c>
    </row>
    <row r="84" spans="2:10" ht="28.8" x14ac:dyDescent="0.3">
      <c r="B84" s="24" t="s">
        <v>52</v>
      </c>
      <c r="C84" s="25" t="s">
        <v>54</v>
      </c>
      <c r="D84" s="73">
        <f t="shared" ref="D84:D88" si="4">E84/(4.2*1.3)</f>
        <v>136.99633699633696</v>
      </c>
      <c r="E84" s="73">
        <f t="shared" si="3"/>
        <v>748</v>
      </c>
      <c r="F84" s="84" t="s">
        <v>6</v>
      </c>
      <c r="G84" s="73" t="s">
        <v>6</v>
      </c>
      <c r="H84" s="74" t="s">
        <v>6</v>
      </c>
      <c r="J84">
        <v>880</v>
      </c>
    </row>
    <row r="85" spans="2:10" ht="28.8" x14ac:dyDescent="0.3">
      <c r="B85" s="24" t="s">
        <v>55</v>
      </c>
      <c r="C85" s="25" t="s">
        <v>56</v>
      </c>
      <c r="D85" s="73">
        <f t="shared" si="4"/>
        <v>120.96153846153845</v>
      </c>
      <c r="E85" s="73">
        <f t="shared" si="3"/>
        <v>660.45</v>
      </c>
      <c r="F85" s="84" t="s">
        <v>6</v>
      </c>
      <c r="G85" s="73" t="s">
        <v>6</v>
      </c>
      <c r="H85" s="74" t="s">
        <v>6</v>
      </c>
      <c r="J85">
        <v>777</v>
      </c>
    </row>
    <row r="86" spans="2:10" ht="28.8" x14ac:dyDescent="0.3">
      <c r="B86" s="24" t="s">
        <v>57</v>
      </c>
      <c r="C86" s="25" t="s">
        <v>110</v>
      </c>
      <c r="D86" s="73">
        <f t="shared" si="4"/>
        <v>117.53663003663002</v>
      </c>
      <c r="E86" s="73">
        <f t="shared" si="3"/>
        <v>641.75</v>
      </c>
      <c r="F86" s="84" t="s">
        <v>6</v>
      </c>
      <c r="G86" s="73" t="s">
        <v>6</v>
      </c>
      <c r="H86" s="74" t="s">
        <v>6</v>
      </c>
      <c r="J86">
        <v>755</v>
      </c>
    </row>
    <row r="87" spans="2:10" ht="28.8" x14ac:dyDescent="0.3">
      <c r="B87" s="92" t="s">
        <v>114</v>
      </c>
      <c r="C87" s="25" t="s">
        <v>105</v>
      </c>
      <c r="D87" s="73">
        <f t="shared" si="4"/>
        <v>122.20695970695969</v>
      </c>
      <c r="E87" s="73">
        <f t="shared" si="3"/>
        <v>667.25</v>
      </c>
      <c r="F87" s="84" t="s">
        <v>6</v>
      </c>
      <c r="G87" s="73" t="s">
        <v>6</v>
      </c>
      <c r="H87" s="74" t="s">
        <v>6</v>
      </c>
      <c r="J87">
        <v>785</v>
      </c>
    </row>
    <row r="88" spans="2:10" ht="29.4" thickBot="1" x14ac:dyDescent="0.35">
      <c r="B88" s="91" t="s">
        <v>114</v>
      </c>
      <c r="C88" s="63" t="s">
        <v>104</v>
      </c>
      <c r="D88" s="78">
        <f t="shared" si="4"/>
        <v>114.73443223443222</v>
      </c>
      <c r="E88" s="78">
        <f t="shared" si="3"/>
        <v>626.45000000000005</v>
      </c>
      <c r="F88" s="85" t="s">
        <v>6</v>
      </c>
      <c r="G88" s="78" t="s">
        <v>6</v>
      </c>
      <c r="H88" s="81" t="s">
        <v>6</v>
      </c>
      <c r="J88">
        <v>737</v>
      </c>
    </row>
    <row r="89" spans="2:10" s="40" customFormat="1" x14ac:dyDescent="0.3">
      <c r="B89" s="22"/>
      <c r="C89" s="22"/>
      <c r="D89" s="23"/>
      <c r="E89" s="23"/>
      <c r="F89" s="23"/>
      <c r="G89" s="23"/>
      <c r="H89" s="23"/>
    </row>
    <row r="90" spans="2:10" s="40" customFormat="1" ht="18" x14ac:dyDescent="0.35">
      <c r="B90" s="178" t="s">
        <v>87</v>
      </c>
      <c r="C90" s="178"/>
      <c r="D90" s="178"/>
      <c r="E90" s="178"/>
      <c r="F90" s="178"/>
      <c r="G90" s="178"/>
      <c r="H90" s="178"/>
    </row>
    <row r="91" spans="2:10" s="40" customFormat="1" x14ac:dyDescent="0.3">
      <c r="B91" s="179" t="s">
        <v>1</v>
      </c>
      <c r="C91" s="179"/>
      <c r="D91" s="179"/>
      <c r="E91" s="179"/>
      <c r="F91" s="179"/>
      <c r="G91" s="179"/>
      <c r="H91" s="179"/>
    </row>
    <row r="92" spans="2:10" s="40" customFormat="1" ht="15" thickBot="1" x14ac:dyDescent="0.35">
      <c r="B92"/>
      <c r="C92"/>
      <c r="D92"/>
      <c r="E92"/>
      <c r="F92"/>
      <c r="G92"/>
      <c r="H92"/>
    </row>
    <row r="93" spans="2:10" s="40" customFormat="1" x14ac:dyDescent="0.3">
      <c r="B93" s="163" t="s">
        <v>2</v>
      </c>
      <c r="C93" s="166" t="s">
        <v>3</v>
      </c>
      <c r="D93" s="166" t="s">
        <v>26</v>
      </c>
      <c r="E93" s="166"/>
      <c r="F93" s="166"/>
      <c r="G93" s="166"/>
      <c r="H93" s="169"/>
    </row>
    <row r="94" spans="2:10" s="40" customFormat="1" x14ac:dyDescent="0.3">
      <c r="B94" s="164"/>
      <c r="C94" s="167"/>
      <c r="D94" s="170" t="s">
        <v>96</v>
      </c>
      <c r="E94" s="115" t="s">
        <v>41</v>
      </c>
      <c r="F94" s="115"/>
      <c r="G94" s="115"/>
      <c r="H94" s="1"/>
    </row>
    <row r="95" spans="2:10" s="40" customFormat="1" x14ac:dyDescent="0.3">
      <c r="B95" s="164"/>
      <c r="C95" s="167"/>
      <c r="D95" s="170"/>
      <c r="E95" s="113" t="s">
        <v>32</v>
      </c>
      <c r="F95" s="113"/>
      <c r="G95" s="113"/>
      <c r="H95" s="10"/>
    </row>
    <row r="96" spans="2:10" s="40" customFormat="1" ht="15" thickBot="1" x14ac:dyDescent="0.35">
      <c r="B96" s="165"/>
      <c r="C96" s="168"/>
      <c r="D96" s="171"/>
      <c r="E96" s="114" t="s">
        <v>33</v>
      </c>
      <c r="F96" s="35"/>
      <c r="G96" s="35"/>
      <c r="H96" s="36"/>
    </row>
    <row r="97" spans="2:8" s="40" customFormat="1" ht="58.2" thickBot="1" x14ac:dyDescent="0.35">
      <c r="B97" s="65" t="s">
        <v>92</v>
      </c>
      <c r="C97" s="66" t="s">
        <v>89</v>
      </c>
      <c r="D97" s="86">
        <v>38.799999999999997</v>
      </c>
      <c r="E97" s="86">
        <f>(3.05*1.3)*D97</f>
        <v>153.84199999999998</v>
      </c>
      <c r="F97" s="87" t="s">
        <v>6</v>
      </c>
      <c r="G97" s="86" t="s">
        <v>6</v>
      </c>
      <c r="H97" s="88" t="s">
        <v>6</v>
      </c>
    </row>
    <row r="99" spans="2:8" ht="18" x14ac:dyDescent="0.35">
      <c r="B99" s="178" t="s">
        <v>134</v>
      </c>
      <c r="C99" s="178"/>
      <c r="D99" s="178"/>
      <c r="E99" s="178"/>
      <c r="F99" s="178"/>
      <c r="G99" s="178"/>
      <c r="H99" s="178"/>
    </row>
    <row r="100" spans="2:8" x14ac:dyDescent="0.3">
      <c r="B100" s="179" t="s">
        <v>123</v>
      </c>
      <c r="C100" s="179"/>
      <c r="D100" s="179"/>
      <c r="E100" s="179"/>
      <c r="F100" s="179"/>
      <c r="G100" s="179"/>
      <c r="H100" s="179"/>
    </row>
    <row r="101" spans="2:8" ht="15" thickBot="1" x14ac:dyDescent="0.35"/>
    <row r="102" spans="2:8" x14ac:dyDescent="0.3">
      <c r="B102" s="163" t="s">
        <v>2</v>
      </c>
      <c r="C102" s="166" t="s">
        <v>3</v>
      </c>
      <c r="D102" s="166" t="s">
        <v>26</v>
      </c>
      <c r="E102" s="166"/>
      <c r="F102" s="166"/>
      <c r="G102" s="166"/>
      <c r="H102" s="169"/>
    </row>
    <row r="103" spans="2:8" x14ac:dyDescent="0.3">
      <c r="B103" s="164"/>
      <c r="C103" s="167"/>
      <c r="D103" s="170" t="s">
        <v>96</v>
      </c>
      <c r="E103" s="115" t="s">
        <v>41</v>
      </c>
      <c r="F103" s="115"/>
      <c r="G103" s="115"/>
      <c r="H103" s="1"/>
    </row>
    <row r="104" spans="2:8" x14ac:dyDescent="0.3">
      <c r="B104" s="164"/>
      <c r="C104" s="167"/>
      <c r="D104" s="170"/>
      <c r="E104" s="113" t="s">
        <v>135</v>
      </c>
      <c r="F104" s="113"/>
      <c r="G104" s="113"/>
      <c r="H104" s="10"/>
    </row>
    <row r="105" spans="2:8" ht="15" thickBot="1" x14ac:dyDescent="0.35">
      <c r="B105" s="165"/>
      <c r="C105" s="168"/>
      <c r="D105" s="171"/>
      <c r="E105" s="114" t="s">
        <v>124</v>
      </c>
      <c r="F105" s="35"/>
      <c r="G105" s="35"/>
      <c r="H105" s="36"/>
    </row>
    <row r="106" spans="2:8" ht="58.2" thickBot="1" x14ac:dyDescent="0.35">
      <c r="B106" s="108" t="s">
        <v>92</v>
      </c>
      <c r="C106" s="66" t="s">
        <v>129</v>
      </c>
      <c r="D106" s="86">
        <v>70</v>
      </c>
      <c r="E106" s="86">
        <f>(2.8*1.3)*D106</f>
        <v>254.79999999999998</v>
      </c>
      <c r="F106" s="87" t="s">
        <v>6</v>
      </c>
      <c r="G106" s="86" t="s">
        <v>6</v>
      </c>
      <c r="H106" s="88" t="s">
        <v>6</v>
      </c>
    </row>
    <row r="108" spans="2:8" ht="18" x14ac:dyDescent="0.35">
      <c r="B108" s="178" t="s">
        <v>128</v>
      </c>
      <c r="C108" s="178"/>
      <c r="D108" s="178"/>
      <c r="E108" s="178"/>
      <c r="F108" s="178"/>
      <c r="G108" s="178"/>
      <c r="H108" s="178"/>
    </row>
    <row r="109" spans="2:8" ht="15" thickBot="1" x14ac:dyDescent="0.35"/>
    <row r="110" spans="2:8" ht="15" thickBot="1" x14ac:dyDescent="0.35">
      <c r="B110" s="112" t="s">
        <v>126</v>
      </c>
      <c r="C110" s="111" t="s">
        <v>3</v>
      </c>
      <c r="D110" s="166" t="s">
        <v>127</v>
      </c>
      <c r="E110" s="166"/>
      <c r="F110" s="166"/>
      <c r="G110" s="166"/>
      <c r="H110" s="169"/>
    </row>
    <row r="111" spans="2:8" ht="15" customHeight="1" thickBot="1" x14ac:dyDescent="0.35">
      <c r="B111" s="108" t="s">
        <v>125</v>
      </c>
      <c r="C111" s="66" t="s">
        <v>89</v>
      </c>
      <c r="D111" s="183">
        <v>0.6</v>
      </c>
      <c r="E111" s="184"/>
      <c r="F111" s="184"/>
      <c r="G111" s="184"/>
      <c r="H111" s="185"/>
    </row>
    <row r="113" spans="2:8" ht="18" x14ac:dyDescent="0.35">
      <c r="B113" s="178" t="s">
        <v>115</v>
      </c>
      <c r="C113" s="178"/>
      <c r="D113" s="178"/>
      <c r="E113" s="178"/>
      <c r="F113" s="178"/>
      <c r="G113" s="178"/>
      <c r="H113" s="178"/>
    </row>
    <row r="114" spans="2:8" x14ac:dyDescent="0.3">
      <c r="B114" s="179" t="s">
        <v>1</v>
      </c>
      <c r="C114" s="179"/>
      <c r="D114" s="179"/>
      <c r="E114" s="179"/>
      <c r="F114" s="179"/>
      <c r="G114" s="179"/>
      <c r="H114" s="179"/>
    </row>
    <row r="115" spans="2:8" ht="15" thickBot="1" x14ac:dyDescent="0.35"/>
    <row r="116" spans="2:8" x14ac:dyDescent="0.3">
      <c r="B116" s="163" t="s">
        <v>2</v>
      </c>
      <c r="C116" s="166" t="s">
        <v>3</v>
      </c>
      <c r="D116" s="166" t="s">
        <v>26</v>
      </c>
      <c r="E116" s="166"/>
      <c r="F116" s="166"/>
      <c r="G116" s="166"/>
      <c r="H116" s="169"/>
    </row>
    <row r="117" spans="2:8" x14ac:dyDescent="0.3">
      <c r="B117" s="164"/>
      <c r="C117" s="167"/>
      <c r="D117" s="170" t="s">
        <v>96</v>
      </c>
      <c r="E117" s="171" t="s">
        <v>118</v>
      </c>
      <c r="F117" s="115" t="s">
        <v>41</v>
      </c>
      <c r="G117" s="115"/>
      <c r="H117" s="1"/>
    </row>
    <row r="118" spans="2:8" x14ac:dyDescent="0.3">
      <c r="B118" s="164"/>
      <c r="C118" s="167"/>
      <c r="D118" s="170"/>
      <c r="E118" s="186"/>
      <c r="F118" s="113" t="s">
        <v>122</v>
      </c>
      <c r="G118" s="113"/>
      <c r="H118" s="10"/>
    </row>
    <row r="119" spans="2:8" ht="15" thickBot="1" x14ac:dyDescent="0.35">
      <c r="B119" s="165"/>
      <c r="C119" s="168"/>
      <c r="D119" s="171"/>
      <c r="E119" s="186"/>
      <c r="F119" s="35" t="s">
        <v>119</v>
      </c>
      <c r="G119" s="35"/>
      <c r="H119" s="36"/>
    </row>
    <row r="120" spans="2:8" ht="28.8" x14ac:dyDescent="0.3">
      <c r="B120" s="98" t="s">
        <v>116</v>
      </c>
      <c r="C120" s="60" t="s">
        <v>117</v>
      </c>
      <c r="D120" s="71">
        <v>84.75</v>
      </c>
      <c r="E120" s="99">
        <v>5</v>
      </c>
      <c r="F120" s="83">
        <v>254.25</v>
      </c>
      <c r="G120" s="71" t="s">
        <v>6</v>
      </c>
      <c r="H120" s="72" t="s">
        <v>6</v>
      </c>
    </row>
    <row r="121" spans="2:8" ht="28.8" x14ac:dyDescent="0.3">
      <c r="B121" s="102"/>
      <c r="C121" s="25" t="s">
        <v>120</v>
      </c>
      <c r="D121" s="73">
        <v>62.96</v>
      </c>
      <c r="E121" s="101">
        <v>3</v>
      </c>
      <c r="F121" s="84">
        <v>188.87</v>
      </c>
      <c r="G121" s="73" t="s">
        <v>6</v>
      </c>
      <c r="H121" s="74" t="s">
        <v>6</v>
      </c>
    </row>
    <row r="122" spans="2:8" ht="15" thickBot="1" x14ac:dyDescent="0.35">
      <c r="B122" s="97"/>
      <c r="C122" s="63" t="s">
        <v>121</v>
      </c>
      <c r="D122" s="78">
        <v>79.91</v>
      </c>
      <c r="E122" s="100">
        <v>5</v>
      </c>
      <c r="F122" s="85">
        <v>239.72</v>
      </c>
      <c r="G122" s="78" t="s">
        <v>6</v>
      </c>
      <c r="H122" s="81" t="s">
        <v>6</v>
      </c>
    </row>
    <row r="124" spans="2:8" x14ac:dyDescent="0.3">
      <c r="B124" s="181" t="s">
        <v>97</v>
      </c>
      <c r="C124" s="181"/>
      <c r="D124" s="181"/>
      <c r="E124" s="181"/>
      <c r="F124" s="181"/>
      <c r="G124" s="181"/>
      <c r="H124" s="181"/>
    </row>
    <row r="125" spans="2:8" ht="15" customHeight="1" x14ac:dyDescent="0.3">
      <c r="B125" s="182" t="s">
        <v>98</v>
      </c>
      <c r="C125" s="182"/>
      <c r="D125" s="182"/>
      <c r="E125" s="182"/>
      <c r="F125" s="182"/>
      <c r="G125" s="182"/>
      <c r="H125" s="182"/>
    </row>
    <row r="126" spans="2:8" ht="33" customHeight="1" x14ac:dyDescent="0.3">
      <c r="B126" s="182" t="s">
        <v>131</v>
      </c>
      <c r="C126" s="182"/>
      <c r="D126" s="182"/>
      <c r="E126" s="182"/>
      <c r="F126" s="182"/>
      <c r="G126" s="182"/>
      <c r="H126" s="182"/>
    </row>
    <row r="127" spans="2:8" x14ac:dyDescent="0.3">
      <c r="B127" s="109" t="s">
        <v>132</v>
      </c>
      <c r="C127" s="109"/>
      <c r="D127" s="109"/>
      <c r="E127" s="109"/>
      <c r="F127" s="109"/>
      <c r="G127" s="109"/>
      <c r="H127" s="109"/>
    </row>
    <row r="128" spans="2:8" x14ac:dyDescent="0.3">
      <c r="B128" s="109" t="s">
        <v>133</v>
      </c>
    </row>
    <row r="130" spans="2:2" x14ac:dyDescent="0.3">
      <c r="B130" t="s">
        <v>78</v>
      </c>
    </row>
    <row r="131" spans="2:2" x14ac:dyDescent="0.3">
      <c r="B131" t="s">
        <v>74</v>
      </c>
    </row>
    <row r="132" spans="2:2" x14ac:dyDescent="0.3">
      <c r="B132" t="s">
        <v>75</v>
      </c>
    </row>
    <row r="133" spans="2:2" x14ac:dyDescent="0.3">
      <c r="B133" t="s">
        <v>76</v>
      </c>
    </row>
    <row r="134" spans="2:2" x14ac:dyDescent="0.3">
      <c r="B134" t="s">
        <v>77</v>
      </c>
    </row>
    <row r="135" spans="2:2" x14ac:dyDescent="0.3">
      <c r="B135" t="s">
        <v>85</v>
      </c>
    </row>
  </sheetData>
  <mergeCells count="57">
    <mergeCell ref="B124:H124"/>
    <mergeCell ref="B125:H125"/>
    <mergeCell ref="B126:H126"/>
    <mergeCell ref="B108:H108"/>
    <mergeCell ref="D110:H110"/>
    <mergeCell ref="D111:H111"/>
    <mergeCell ref="B113:H113"/>
    <mergeCell ref="B114:H114"/>
    <mergeCell ref="B116:B119"/>
    <mergeCell ref="C116:C119"/>
    <mergeCell ref="D116:H116"/>
    <mergeCell ref="D117:D119"/>
    <mergeCell ref="E117:E119"/>
    <mergeCell ref="B99:H99"/>
    <mergeCell ref="B100:H100"/>
    <mergeCell ref="B102:B105"/>
    <mergeCell ref="C102:C105"/>
    <mergeCell ref="D102:H102"/>
    <mergeCell ref="D103:D105"/>
    <mergeCell ref="B90:H90"/>
    <mergeCell ref="B91:H91"/>
    <mergeCell ref="B93:B96"/>
    <mergeCell ref="C93:C96"/>
    <mergeCell ref="D93:H93"/>
    <mergeCell ref="D94:D96"/>
    <mergeCell ref="B73:H73"/>
    <mergeCell ref="B74:H74"/>
    <mergeCell ref="B76:B79"/>
    <mergeCell ref="C76:C79"/>
    <mergeCell ref="D76:H76"/>
    <mergeCell ref="D77:D79"/>
    <mergeCell ref="B56:H56"/>
    <mergeCell ref="B57:H57"/>
    <mergeCell ref="B59:B62"/>
    <mergeCell ref="C59:C62"/>
    <mergeCell ref="D59:H59"/>
    <mergeCell ref="D60:D62"/>
    <mergeCell ref="B42:H42"/>
    <mergeCell ref="B43:H43"/>
    <mergeCell ref="B44:H44"/>
    <mergeCell ref="B46:B49"/>
    <mergeCell ref="C46:C49"/>
    <mergeCell ref="D46:H46"/>
    <mergeCell ref="D47:D49"/>
    <mergeCell ref="B29:H29"/>
    <mergeCell ref="B30:H30"/>
    <mergeCell ref="B32:B35"/>
    <mergeCell ref="C32:C35"/>
    <mergeCell ref="D32:H32"/>
    <mergeCell ref="D33:D35"/>
    <mergeCell ref="B15:H15"/>
    <mergeCell ref="B16:H16"/>
    <mergeCell ref="B17:H17"/>
    <mergeCell ref="B19:B22"/>
    <mergeCell ref="C19:C22"/>
    <mergeCell ref="D19:H19"/>
    <mergeCell ref="D20:D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"/>
  <sheetViews>
    <sheetView workbookViewId="0">
      <selection activeCell="C9" sqref="C9"/>
    </sheetView>
  </sheetViews>
  <sheetFormatPr defaultRowHeight="14.4" x14ac:dyDescent="0.3"/>
  <cols>
    <col min="1" max="1" width="37.88671875" customWidth="1"/>
    <col min="2" max="3" width="26" customWidth="1"/>
    <col min="4" max="4" width="21.44140625" customWidth="1"/>
    <col min="5" max="5" width="28.44140625" customWidth="1"/>
    <col min="6" max="6" width="22.6640625" customWidth="1"/>
    <col min="7" max="7" width="17.88671875" customWidth="1"/>
    <col min="8" max="8" width="15.33203125" customWidth="1"/>
  </cols>
  <sheetData>
    <row r="1" spans="1:8" ht="18" x14ac:dyDescent="0.35">
      <c r="A1" s="176" t="s">
        <v>64</v>
      </c>
      <c r="B1" s="176"/>
      <c r="C1" s="176"/>
      <c r="D1" s="176"/>
      <c r="E1" s="176"/>
      <c r="F1" s="176"/>
      <c r="G1" s="176"/>
      <c r="H1" s="176"/>
    </row>
    <row r="2" spans="1:8" ht="18" x14ac:dyDescent="0.35">
      <c r="A2" s="178" t="s">
        <v>0</v>
      </c>
      <c r="B2" s="178"/>
      <c r="C2" s="178"/>
      <c r="D2" s="178"/>
      <c r="E2" s="178"/>
      <c r="F2" s="178"/>
      <c r="G2" s="178"/>
      <c r="H2" s="178"/>
    </row>
    <row r="3" spans="1:8" x14ac:dyDescent="0.3">
      <c r="A3" s="179" t="s">
        <v>1</v>
      </c>
      <c r="B3" s="179"/>
      <c r="C3" s="179"/>
      <c r="D3" s="179"/>
      <c r="E3" s="179"/>
      <c r="F3" s="179"/>
      <c r="G3" s="179"/>
      <c r="H3" s="179"/>
    </row>
    <row r="4" spans="1:8" ht="15" thickBot="1" x14ac:dyDescent="0.35">
      <c r="A4" t="s">
        <v>45</v>
      </c>
      <c r="B4">
        <v>95</v>
      </c>
    </row>
    <row r="5" spans="1:8" x14ac:dyDescent="0.3">
      <c r="A5" s="163" t="s">
        <v>2</v>
      </c>
      <c r="B5" s="166" t="s">
        <v>3</v>
      </c>
      <c r="C5" s="44"/>
      <c r="D5" s="166" t="s">
        <v>26</v>
      </c>
      <c r="E5" s="166"/>
      <c r="F5" s="166"/>
      <c r="G5" s="166"/>
      <c r="H5" s="169"/>
    </row>
    <row r="6" spans="1:8" x14ac:dyDescent="0.3">
      <c r="A6" s="164"/>
      <c r="B6" s="167"/>
      <c r="C6" s="170" t="s">
        <v>86</v>
      </c>
      <c r="D6" s="170" t="s">
        <v>65</v>
      </c>
      <c r="E6" s="47" t="s">
        <v>41</v>
      </c>
      <c r="F6" s="47" t="s">
        <v>42</v>
      </c>
      <c r="G6" s="47" t="s">
        <v>41</v>
      </c>
      <c r="H6" s="1" t="s">
        <v>43</v>
      </c>
    </row>
    <row r="7" spans="1:8" x14ac:dyDescent="0.3">
      <c r="A7" s="164"/>
      <c r="B7" s="167"/>
      <c r="C7" s="170"/>
      <c r="D7" s="170"/>
      <c r="E7" s="45" t="s">
        <v>10</v>
      </c>
      <c r="F7" s="45" t="s">
        <v>9</v>
      </c>
      <c r="G7" s="45" t="s">
        <v>14</v>
      </c>
      <c r="H7" s="10" t="s">
        <v>8</v>
      </c>
    </row>
    <row r="8" spans="1:8" ht="15" thickBot="1" x14ac:dyDescent="0.35">
      <c r="A8" s="165"/>
      <c r="B8" s="168"/>
      <c r="C8" s="171"/>
      <c r="D8" s="171"/>
      <c r="E8" s="46" t="s">
        <v>27</v>
      </c>
      <c r="F8" s="35" t="s">
        <v>58</v>
      </c>
      <c r="G8" s="35" t="s">
        <v>60</v>
      </c>
      <c r="H8" s="36" t="s">
        <v>59</v>
      </c>
    </row>
    <row r="9" spans="1:8" ht="28.8" x14ac:dyDescent="0.3">
      <c r="A9" s="17" t="s">
        <v>7</v>
      </c>
      <c r="B9" s="30" t="s">
        <v>66</v>
      </c>
      <c r="C9" s="53">
        <f>C36</f>
        <v>131.5</v>
      </c>
      <c r="D9" s="18">
        <f>C9*$B$4</f>
        <v>12492.5</v>
      </c>
      <c r="E9" s="18">
        <f>(4.1*1.3)*D9</f>
        <v>66585.024999999994</v>
      </c>
      <c r="F9" s="18">
        <f>((4.1*0.648)*D9)+1000</f>
        <v>34190.074000000001</v>
      </c>
      <c r="G9" s="18" t="s">
        <v>6</v>
      </c>
      <c r="H9" s="19" t="s">
        <v>6</v>
      </c>
    </row>
    <row r="10" spans="1:8" ht="28.8" x14ac:dyDescent="0.3">
      <c r="A10" s="2" t="s">
        <v>11</v>
      </c>
      <c r="B10" s="48" t="s">
        <v>79</v>
      </c>
      <c r="C10" s="57">
        <f>C37</f>
        <v>159.4</v>
      </c>
      <c r="D10" s="12">
        <f t="shared" ref="D10:D13" si="0">C10*$B$4</f>
        <v>15143</v>
      </c>
      <c r="E10" s="12">
        <f>(4.1*1.3)*D10</f>
        <v>80712.19</v>
      </c>
      <c r="F10" s="12">
        <f>((4.1*0.648)*D10)+1000</f>
        <v>41231.922400000003</v>
      </c>
      <c r="G10" s="12" t="s">
        <v>6</v>
      </c>
      <c r="H10" s="13" t="s">
        <v>6</v>
      </c>
    </row>
    <row r="11" spans="1:8" ht="28.8" x14ac:dyDescent="0.3">
      <c r="A11" s="2" t="s">
        <v>12</v>
      </c>
      <c r="B11" s="48" t="s">
        <v>83</v>
      </c>
      <c r="C11" s="57">
        <f>C38</f>
        <v>104.65</v>
      </c>
      <c r="D11" s="12">
        <f t="shared" si="0"/>
        <v>9941.75</v>
      </c>
      <c r="E11" s="12">
        <f>(4.1*1.3)*D11</f>
        <v>52989.527500000004</v>
      </c>
      <c r="F11" s="12">
        <f>((4.1*0.648)*D11)+1000</f>
        <v>27413.241399999999</v>
      </c>
      <c r="G11" s="51" t="s">
        <v>6</v>
      </c>
      <c r="H11" s="52" t="s">
        <v>6</v>
      </c>
    </row>
    <row r="12" spans="1:8" ht="28.8" x14ac:dyDescent="0.3">
      <c r="A12" s="2" t="s">
        <v>12</v>
      </c>
      <c r="B12" s="48" t="s">
        <v>84</v>
      </c>
      <c r="C12" s="57">
        <f>C38</f>
        <v>104.65</v>
      </c>
      <c r="D12" s="12">
        <f t="shared" si="0"/>
        <v>9941.75</v>
      </c>
      <c r="E12" s="28" t="s">
        <v>6</v>
      </c>
      <c r="F12" s="28" t="s">
        <v>6</v>
      </c>
      <c r="G12" s="12">
        <f>(4.1*1.854)*D12</f>
        <v>75571.21845</v>
      </c>
      <c r="H12" s="13">
        <f>((4.1*0.61)*D12)+1000</f>
        <v>25864.316749999998</v>
      </c>
    </row>
    <row r="13" spans="1:8" ht="29.4" thickBot="1" x14ac:dyDescent="0.35">
      <c r="A13" s="4" t="s">
        <v>12</v>
      </c>
      <c r="B13" s="31" t="s">
        <v>67</v>
      </c>
      <c r="C13" s="56">
        <f>C39</f>
        <v>100.8</v>
      </c>
      <c r="D13" s="14">
        <f t="shared" si="0"/>
        <v>9576</v>
      </c>
      <c r="E13" s="14">
        <f>(4.1*1.3)*D13</f>
        <v>51040.08</v>
      </c>
      <c r="F13" s="14">
        <f>((4.1*0.648)*D13)+1000</f>
        <v>26441.516800000001</v>
      </c>
      <c r="G13" s="32" t="s">
        <v>6</v>
      </c>
      <c r="H13" s="33" t="s">
        <v>6</v>
      </c>
    </row>
    <row r="14" spans="1:8" x14ac:dyDescent="0.3">
      <c r="G14" s="6"/>
      <c r="H14" s="5"/>
    </row>
    <row r="15" spans="1:8" ht="18" x14ac:dyDescent="0.35">
      <c r="A15" s="178" t="s">
        <v>29</v>
      </c>
      <c r="B15" s="178"/>
      <c r="C15" s="178"/>
      <c r="D15" s="178"/>
      <c r="E15" s="178"/>
      <c r="F15" s="178"/>
      <c r="G15" s="178"/>
      <c r="H15" s="178"/>
    </row>
    <row r="16" spans="1:8" x14ac:dyDescent="0.3">
      <c r="A16" s="179" t="s">
        <v>1</v>
      </c>
      <c r="B16" s="179"/>
      <c r="C16" s="179"/>
      <c r="D16" s="179"/>
      <c r="E16" s="179"/>
      <c r="F16" s="179"/>
      <c r="G16" s="179"/>
      <c r="H16" s="179"/>
    </row>
    <row r="17" spans="1:8" ht="15" thickBot="1" x14ac:dyDescent="0.35"/>
    <row r="18" spans="1:8" x14ac:dyDescent="0.3">
      <c r="A18" s="163" t="s">
        <v>2</v>
      </c>
      <c r="B18" s="166" t="s">
        <v>3</v>
      </c>
      <c r="C18" s="44"/>
      <c r="D18" s="166" t="s">
        <v>26</v>
      </c>
      <c r="E18" s="166"/>
      <c r="F18" s="166"/>
      <c r="G18" s="166"/>
      <c r="H18" s="169"/>
    </row>
    <row r="19" spans="1:8" x14ac:dyDescent="0.3">
      <c r="A19" s="164"/>
      <c r="B19" s="167"/>
      <c r="C19" s="170" t="s">
        <v>86</v>
      </c>
      <c r="D19" s="170" t="s">
        <v>44</v>
      </c>
      <c r="E19" s="47" t="s">
        <v>41</v>
      </c>
      <c r="F19" s="47" t="s">
        <v>42</v>
      </c>
      <c r="G19" s="47" t="s">
        <v>41</v>
      </c>
      <c r="H19" s="1" t="s">
        <v>43</v>
      </c>
    </row>
    <row r="20" spans="1:8" x14ac:dyDescent="0.3">
      <c r="A20" s="164"/>
      <c r="B20" s="167"/>
      <c r="C20" s="170"/>
      <c r="D20" s="170"/>
      <c r="E20" s="45" t="s">
        <v>32</v>
      </c>
      <c r="F20" s="45" t="s">
        <v>34</v>
      </c>
      <c r="G20" s="45" t="s">
        <v>31</v>
      </c>
      <c r="H20" s="10" t="s">
        <v>35</v>
      </c>
    </row>
    <row r="21" spans="1:8" ht="15" thickBot="1" x14ac:dyDescent="0.35">
      <c r="A21" s="165"/>
      <c r="B21" s="168"/>
      <c r="C21" s="171"/>
      <c r="D21" s="171"/>
      <c r="E21" s="46" t="s">
        <v>33</v>
      </c>
      <c r="F21" s="35" t="s">
        <v>61</v>
      </c>
      <c r="G21" s="35" t="s">
        <v>62</v>
      </c>
      <c r="H21" s="36" t="s">
        <v>63</v>
      </c>
    </row>
    <row r="22" spans="1:8" ht="28.8" x14ac:dyDescent="0.3">
      <c r="A22" s="37" t="s">
        <v>69</v>
      </c>
      <c r="B22" s="58" t="s">
        <v>81</v>
      </c>
      <c r="C22" s="58">
        <f>C50</f>
        <v>85.44</v>
      </c>
      <c r="D22" s="18">
        <f>C22*$B$4</f>
        <v>8116.8</v>
      </c>
      <c r="E22" s="18">
        <f t="shared" ref="E22:E24" si="1">(3.05*1.3)*D22</f>
        <v>32183.112000000001</v>
      </c>
      <c r="F22" s="18">
        <f t="shared" ref="F22:F24" si="2">((3.05*0.648)*D22)+1000</f>
        <v>17042.043519999999</v>
      </c>
      <c r="G22" s="18" t="s">
        <v>6</v>
      </c>
      <c r="H22" s="19" t="s">
        <v>6</v>
      </c>
    </row>
    <row r="23" spans="1:8" ht="28.8" x14ac:dyDescent="0.3">
      <c r="A23" s="38" t="s">
        <v>69</v>
      </c>
      <c r="B23" s="48" t="s">
        <v>80</v>
      </c>
      <c r="C23" s="48">
        <f>C51</f>
        <v>181.92</v>
      </c>
      <c r="D23" s="12">
        <f t="shared" ref="D23:D24" si="3">C23*$B$4</f>
        <v>17282.399999999998</v>
      </c>
      <c r="E23" s="12">
        <f t="shared" si="1"/>
        <v>68524.715999999986</v>
      </c>
      <c r="F23" s="12">
        <f t="shared" si="2"/>
        <v>35156.935359999996</v>
      </c>
      <c r="G23" s="12" t="s">
        <v>6</v>
      </c>
      <c r="H23" s="13" t="s">
        <v>6</v>
      </c>
    </row>
    <row r="24" spans="1:8" ht="29.4" thickBot="1" x14ac:dyDescent="0.35">
      <c r="A24" s="39" t="s">
        <v>71</v>
      </c>
      <c r="B24" s="49" t="s">
        <v>82</v>
      </c>
      <c r="C24" s="49">
        <f>C53</f>
        <v>85.44</v>
      </c>
      <c r="D24" s="14">
        <f t="shared" si="3"/>
        <v>8116.8</v>
      </c>
      <c r="E24" s="14">
        <f t="shared" si="1"/>
        <v>32183.112000000001</v>
      </c>
      <c r="F24" s="14">
        <f t="shared" si="2"/>
        <v>17042.043519999999</v>
      </c>
      <c r="G24" s="14" t="s">
        <v>6</v>
      </c>
      <c r="H24" s="50" t="s">
        <v>6</v>
      </c>
    </row>
    <row r="25" spans="1:8" x14ac:dyDescent="0.3">
      <c r="G25" s="6"/>
      <c r="H25" s="5"/>
    </row>
    <row r="26" spans="1:8" x14ac:dyDescent="0.3">
      <c r="G26" s="6"/>
      <c r="H26" s="5"/>
    </row>
    <row r="27" spans="1:8" ht="18" x14ac:dyDescent="0.35">
      <c r="A27" s="176" t="s">
        <v>68</v>
      </c>
      <c r="B27" s="176"/>
      <c r="C27" s="176"/>
      <c r="D27" s="176"/>
      <c r="E27" s="176"/>
      <c r="F27" s="176"/>
      <c r="G27" s="176"/>
      <c r="H27" s="176"/>
    </row>
    <row r="28" spans="1:8" ht="18" x14ac:dyDescent="0.35">
      <c r="A28" s="178" t="s">
        <v>0</v>
      </c>
      <c r="B28" s="178"/>
      <c r="C28" s="178"/>
      <c r="D28" s="178"/>
      <c r="E28" s="178"/>
      <c r="F28" s="178"/>
      <c r="G28" s="178"/>
      <c r="H28" s="178"/>
    </row>
    <row r="29" spans="1:8" x14ac:dyDescent="0.3">
      <c r="A29" s="179" t="s">
        <v>1</v>
      </c>
      <c r="B29" s="179"/>
      <c r="C29" s="179"/>
      <c r="D29" s="179"/>
      <c r="E29" s="179"/>
      <c r="F29" s="179"/>
      <c r="G29" s="179"/>
      <c r="H29" s="179"/>
    </row>
    <row r="30" spans="1:8" ht="15" thickBot="1" x14ac:dyDescent="0.35"/>
    <row r="31" spans="1:8" x14ac:dyDescent="0.3">
      <c r="A31" s="163" t="s">
        <v>2</v>
      </c>
      <c r="B31" s="166" t="s">
        <v>3</v>
      </c>
      <c r="C31" s="44"/>
      <c r="D31" s="166" t="s">
        <v>26</v>
      </c>
      <c r="E31" s="166"/>
      <c r="F31" s="166"/>
      <c r="G31" s="166"/>
      <c r="H31" s="169"/>
    </row>
    <row r="32" spans="1:8" x14ac:dyDescent="0.3">
      <c r="A32" s="164"/>
      <c r="B32" s="167"/>
      <c r="C32" s="170" t="s">
        <v>86</v>
      </c>
      <c r="D32" s="170" t="s">
        <v>44</v>
      </c>
      <c r="E32" s="47" t="s">
        <v>41</v>
      </c>
      <c r="F32" s="47" t="s">
        <v>42</v>
      </c>
      <c r="G32" s="47" t="s">
        <v>41</v>
      </c>
      <c r="H32" s="1" t="s">
        <v>43</v>
      </c>
    </row>
    <row r="33" spans="1:8" x14ac:dyDescent="0.3">
      <c r="A33" s="164"/>
      <c r="B33" s="167"/>
      <c r="C33" s="170"/>
      <c r="D33" s="170"/>
      <c r="E33" s="45" t="s">
        <v>10</v>
      </c>
      <c r="F33" s="45" t="s">
        <v>9</v>
      </c>
      <c r="G33" s="45" t="s">
        <v>14</v>
      </c>
      <c r="H33" s="10" t="s">
        <v>8</v>
      </c>
    </row>
    <row r="34" spans="1:8" ht="15" thickBot="1" x14ac:dyDescent="0.35">
      <c r="A34" s="165"/>
      <c r="B34" s="168"/>
      <c r="C34" s="171"/>
      <c r="D34" s="171"/>
      <c r="E34" s="46" t="s">
        <v>27</v>
      </c>
      <c r="F34" s="35" t="s">
        <v>58</v>
      </c>
      <c r="G34" s="35" t="s">
        <v>60</v>
      </c>
      <c r="H34" s="36" t="s">
        <v>59</v>
      </c>
    </row>
    <row r="35" spans="1:8" ht="28.8" x14ac:dyDescent="0.3">
      <c r="A35" s="37" t="s">
        <v>4</v>
      </c>
      <c r="B35" s="30" t="s">
        <v>5</v>
      </c>
      <c r="C35" s="53">
        <v>192</v>
      </c>
      <c r="D35" s="18">
        <f>C35*$B$4</f>
        <v>18240</v>
      </c>
      <c r="E35" s="18">
        <f>(4.1*1.3)*D35</f>
        <v>97219.199999999997</v>
      </c>
      <c r="F35" s="18">
        <f>((4.1*0.648)*D35)+1000</f>
        <v>49460.031999999999</v>
      </c>
      <c r="G35" s="18" t="s">
        <v>6</v>
      </c>
      <c r="H35" s="19" t="s">
        <v>6</v>
      </c>
    </row>
    <row r="36" spans="1:8" ht="28.8" x14ac:dyDescent="0.3">
      <c r="A36" s="2" t="s">
        <v>7</v>
      </c>
      <c r="B36" s="27" t="s">
        <v>46</v>
      </c>
      <c r="C36" s="54">
        <v>131.5</v>
      </c>
      <c r="D36" s="12">
        <f t="shared" ref="D36:D40" si="4">C36*$B$4</f>
        <v>12492.5</v>
      </c>
      <c r="E36" s="12">
        <f t="shared" ref="E36:E39" si="5">(4.1*1.3)*D36</f>
        <v>66585.024999999994</v>
      </c>
      <c r="F36" s="12">
        <f>((4.1*0.648)*D36)+1000</f>
        <v>34190.074000000001</v>
      </c>
      <c r="G36" s="12" t="s">
        <v>6</v>
      </c>
      <c r="H36" s="13" t="s">
        <v>6</v>
      </c>
    </row>
    <row r="37" spans="1:8" ht="43.2" x14ac:dyDescent="0.3">
      <c r="A37" s="2" t="s">
        <v>11</v>
      </c>
      <c r="B37" s="27" t="s">
        <v>47</v>
      </c>
      <c r="C37" s="54">
        <v>159.4</v>
      </c>
      <c r="D37" s="12">
        <f t="shared" si="4"/>
        <v>15143</v>
      </c>
      <c r="E37" s="12">
        <f t="shared" si="5"/>
        <v>80712.19</v>
      </c>
      <c r="F37" s="12">
        <f t="shared" ref="F37:F39" si="6">((4.1*0.648)*D37)+1000</f>
        <v>41231.922400000003</v>
      </c>
      <c r="G37" s="12" t="s">
        <v>6</v>
      </c>
      <c r="H37" s="13" t="s">
        <v>6</v>
      </c>
    </row>
    <row r="38" spans="1:8" ht="43.2" x14ac:dyDescent="0.3">
      <c r="A38" s="2" t="s">
        <v>12</v>
      </c>
      <c r="B38" s="27" t="s">
        <v>48</v>
      </c>
      <c r="C38" s="54">
        <v>104.65</v>
      </c>
      <c r="D38" s="12">
        <f t="shared" si="4"/>
        <v>9941.75</v>
      </c>
      <c r="E38" s="12">
        <f t="shared" si="5"/>
        <v>52989.527500000004</v>
      </c>
      <c r="F38" s="12">
        <f t="shared" si="6"/>
        <v>27413.241399999999</v>
      </c>
      <c r="G38" s="12" t="s">
        <v>6</v>
      </c>
      <c r="H38" s="13" t="s">
        <v>6</v>
      </c>
    </row>
    <row r="39" spans="1:8" ht="28.8" x14ac:dyDescent="0.3">
      <c r="A39" s="2" t="s">
        <v>12</v>
      </c>
      <c r="B39" s="3" t="s">
        <v>13</v>
      </c>
      <c r="C39" s="55">
        <v>100.8</v>
      </c>
      <c r="D39" s="12">
        <f t="shared" si="4"/>
        <v>9576</v>
      </c>
      <c r="E39" s="12">
        <f t="shared" si="5"/>
        <v>51040.08</v>
      </c>
      <c r="F39" s="12">
        <f t="shared" si="6"/>
        <v>26441.516800000001</v>
      </c>
      <c r="G39" s="28">
        <f>(4.1*1.854)*D39</f>
        <v>72791.006399999998</v>
      </c>
      <c r="H39" s="29">
        <f>((4.1*0.61)*D39)+1000</f>
        <v>24949.575999999997</v>
      </c>
    </row>
    <row r="40" spans="1:8" ht="29.4" thickBot="1" x14ac:dyDescent="0.35">
      <c r="A40" s="4" t="s">
        <v>12</v>
      </c>
      <c r="B40" s="31" t="s">
        <v>15</v>
      </c>
      <c r="C40" s="56">
        <v>218.9</v>
      </c>
      <c r="D40" s="14">
        <f t="shared" si="4"/>
        <v>20795.5</v>
      </c>
      <c r="E40" s="32" t="s">
        <v>6</v>
      </c>
      <c r="F40" s="32" t="s">
        <v>6</v>
      </c>
      <c r="G40" s="32">
        <f>(4.1*1.854)*D40</f>
        <v>158074.9137</v>
      </c>
      <c r="H40" s="33">
        <f>((4.1*0.61)*D40)+1000</f>
        <v>53009.5455</v>
      </c>
    </row>
    <row r="42" spans="1:8" ht="18" x14ac:dyDescent="0.35">
      <c r="A42" s="178" t="s">
        <v>29</v>
      </c>
      <c r="B42" s="178"/>
      <c r="C42" s="178"/>
      <c r="D42" s="178"/>
      <c r="E42" s="178"/>
      <c r="F42" s="178"/>
      <c r="G42" s="178"/>
      <c r="H42" s="178"/>
    </row>
    <row r="43" spans="1:8" x14ac:dyDescent="0.3">
      <c r="A43" s="179" t="s">
        <v>1</v>
      </c>
      <c r="B43" s="179"/>
      <c r="C43" s="179"/>
      <c r="D43" s="179"/>
      <c r="E43" s="179"/>
      <c r="F43" s="179"/>
      <c r="G43" s="179"/>
      <c r="H43" s="179"/>
    </row>
    <row r="44" spans="1:8" ht="15" thickBot="1" x14ac:dyDescent="0.35"/>
    <row r="45" spans="1:8" x14ac:dyDescent="0.3">
      <c r="A45" s="163" t="s">
        <v>2</v>
      </c>
      <c r="B45" s="166" t="s">
        <v>3</v>
      </c>
      <c r="C45" s="44"/>
      <c r="D45" s="166" t="s">
        <v>26</v>
      </c>
      <c r="E45" s="166"/>
      <c r="F45" s="166"/>
      <c r="G45" s="166"/>
      <c r="H45" s="169"/>
    </row>
    <row r="46" spans="1:8" x14ac:dyDescent="0.3">
      <c r="A46" s="164"/>
      <c r="B46" s="167"/>
      <c r="C46" s="170" t="s">
        <v>86</v>
      </c>
      <c r="D46" s="170" t="s">
        <v>44</v>
      </c>
      <c r="E46" s="47" t="s">
        <v>41</v>
      </c>
      <c r="F46" s="47" t="s">
        <v>42</v>
      </c>
      <c r="G46" s="47" t="s">
        <v>41</v>
      </c>
      <c r="H46" s="1" t="s">
        <v>43</v>
      </c>
    </row>
    <row r="47" spans="1:8" x14ac:dyDescent="0.3">
      <c r="A47" s="164"/>
      <c r="B47" s="167"/>
      <c r="C47" s="170"/>
      <c r="D47" s="170"/>
      <c r="E47" s="45" t="s">
        <v>32</v>
      </c>
      <c r="F47" s="45" t="s">
        <v>34</v>
      </c>
      <c r="G47" s="45" t="s">
        <v>31</v>
      </c>
      <c r="H47" s="10" t="s">
        <v>35</v>
      </c>
    </row>
    <row r="48" spans="1:8" ht="15" thickBot="1" x14ac:dyDescent="0.35">
      <c r="A48" s="165"/>
      <c r="B48" s="168"/>
      <c r="C48" s="171"/>
      <c r="D48" s="171"/>
      <c r="E48" s="46" t="s">
        <v>33</v>
      </c>
      <c r="F48" s="35" t="s">
        <v>61</v>
      </c>
      <c r="G48" s="35" t="s">
        <v>62</v>
      </c>
      <c r="H48" s="36" t="s">
        <v>63</v>
      </c>
    </row>
    <row r="49" spans="1:8" ht="28.8" x14ac:dyDescent="0.3">
      <c r="A49" s="17" t="s">
        <v>30</v>
      </c>
      <c r="B49" s="30" t="s">
        <v>49</v>
      </c>
      <c r="C49" s="30">
        <v>121.44</v>
      </c>
      <c r="D49" s="18">
        <f>C49*$B$4</f>
        <v>11536.8</v>
      </c>
      <c r="E49" s="18">
        <f>(3.05*1.3)*D49</f>
        <v>45743.411999999997</v>
      </c>
      <c r="F49" s="18">
        <f>((3.05*0.648)*D49)+1000</f>
        <v>23801.331519999996</v>
      </c>
      <c r="G49" s="18" t="s">
        <v>6</v>
      </c>
      <c r="H49" s="19" t="s">
        <v>6</v>
      </c>
    </row>
    <row r="50" spans="1:8" ht="28.8" x14ac:dyDescent="0.3">
      <c r="A50" s="38" t="s">
        <v>69</v>
      </c>
      <c r="B50" s="3" t="s">
        <v>36</v>
      </c>
      <c r="C50" s="3">
        <v>85.44</v>
      </c>
      <c r="D50" s="12">
        <f t="shared" ref="D50:D55" si="7">C50*$B$4</f>
        <v>8116.8</v>
      </c>
      <c r="E50" s="12">
        <f t="shared" ref="E50:E55" si="8">(3.05*1.3)*D50</f>
        <v>32183.112000000001</v>
      </c>
      <c r="F50" s="12">
        <f t="shared" ref="F50:F55" si="9">((3.05*0.648)*D50)+1000</f>
        <v>17042.043519999999</v>
      </c>
      <c r="G50" s="12" t="s">
        <v>6</v>
      </c>
      <c r="H50" s="13" t="s">
        <v>6</v>
      </c>
    </row>
    <row r="51" spans="1:8" ht="28.8" x14ac:dyDescent="0.3">
      <c r="A51" s="38" t="s">
        <v>69</v>
      </c>
      <c r="B51" s="3" t="s">
        <v>37</v>
      </c>
      <c r="C51" s="3">
        <v>181.92</v>
      </c>
      <c r="D51" s="12">
        <f t="shared" si="7"/>
        <v>17282.399999999998</v>
      </c>
      <c r="E51" s="12">
        <f t="shared" si="8"/>
        <v>68524.715999999986</v>
      </c>
      <c r="F51" s="12">
        <f t="shared" si="9"/>
        <v>35156.935359999996</v>
      </c>
      <c r="G51" s="12" t="s">
        <v>6</v>
      </c>
      <c r="H51" s="13" t="s">
        <v>6</v>
      </c>
    </row>
    <row r="52" spans="1:8" ht="28.8" x14ac:dyDescent="0.3">
      <c r="A52" s="38" t="s">
        <v>70</v>
      </c>
      <c r="B52" s="3" t="s">
        <v>38</v>
      </c>
      <c r="C52" s="3">
        <v>85.44</v>
      </c>
      <c r="D52" s="12">
        <f t="shared" si="7"/>
        <v>8116.8</v>
      </c>
      <c r="E52" s="12">
        <f t="shared" si="8"/>
        <v>32183.112000000001</v>
      </c>
      <c r="F52" s="12">
        <f t="shared" si="9"/>
        <v>17042.043519999999</v>
      </c>
      <c r="G52" s="12" t="s">
        <v>6</v>
      </c>
      <c r="H52" s="13" t="s">
        <v>6</v>
      </c>
    </row>
    <row r="53" spans="1:8" ht="28.8" x14ac:dyDescent="0.3">
      <c r="A53" s="38" t="s">
        <v>71</v>
      </c>
      <c r="B53" s="3" t="s">
        <v>39</v>
      </c>
      <c r="C53" s="3">
        <v>85.44</v>
      </c>
      <c r="D53" s="12">
        <f t="shared" si="7"/>
        <v>8116.8</v>
      </c>
      <c r="E53" s="12">
        <f t="shared" si="8"/>
        <v>32183.112000000001</v>
      </c>
      <c r="F53" s="12">
        <f t="shared" si="9"/>
        <v>17042.043519999999</v>
      </c>
      <c r="G53" s="12" t="s">
        <v>6</v>
      </c>
      <c r="H53" s="13" t="s">
        <v>6</v>
      </c>
    </row>
    <row r="54" spans="1:8" ht="28.8" x14ac:dyDescent="0.3">
      <c r="A54" s="38" t="s">
        <v>72</v>
      </c>
      <c r="B54" s="70" t="s">
        <v>40</v>
      </c>
      <c r="C54" s="3">
        <v>78.239999999999995</v>
      </c>
      <c r="D54" s="12">
        <f t="shared" si="7"/>
        <v>7432.7999999999993</v>
      </c>
      <c r="E54" s="12" t="s">
        <v>6</v>
      </c>
      <c r="F54" s="12" t="s">
        <v>6</v>
      </c>
      <c r="G54" s="12">
        <f>(3.66*1.83)*D54</f>
        <v>49783.40784</v>
      </c>
      <c r="H54" s="13">
        <f>((3.66*0.605)*D54)+1000</f>
        <v>17458.44904</v>
      </c>
    </row>
    <row r="55" spans="1:8" ht="29.4" thickBot="1" x14ac:dyDescent="0.35">
      <c r="A55" s="39" t="s">
        <v>72</v>
      </c>
      <c r="B55" s="31" t="s">
        <v>73</v>
      </c>
      <c r="C55" s="31">
        <v>174.72</v>
      </c>
      <c r="D55" s="14">
        <f t="shared" si="7"/>
        <v>16598.400000000001</v>
      </c>
      <c r="E55" s="14">
        <f t="shared" si="8"/>
        <v>65812.656000000003</v>
      </c>
      <c r="F55" s="14">
        <f t="shared" si="9"/>
        <v>33805.07776</v>
      </c>
      <c r="G55" s="32" t="s">
        <v>6</v>
      </c>
      <c r="H55" s="33" t="s">
        <v>6</v>
      </c>
    </row>
    <row r="56" spans="1:8" x14ac:dyDescent="0.3">
      <c r="A56" s="22"/>
      <c r="B56" s="22"/>
      <c r="C56" s="22"/>
      <c r="D56" s="23"/>
      <c r="E56" s="23"/>
      <c r="F56" s="23"/>
      <c r="G56" s="23"/>
      <c r="H56" s="23"/>
    </row>
    <row r="57" spans="1:8" ht="18" x14ac:dyDescent="0.35">
      <c r="A57" s="178" t="s">
        <v>50</v>
      </c>
      <c r="B57" s="178"/>
      <c r="C57" s="178"/>
      <c r="D57" s="178"/>
      <c r="E57" s="178"/>
      <c r="F57" s="178"/>
      <c r="G57" s="178"/>
      <c r="H57" s="178"/>
    </row>
    <row r="58" spans="1:8" x14ac:dyDescent="0.3">
      <c r="A58" s="179" t="s">
        <v>1</v>
      </c>
      <c r="B58" s="179"/>
      <c r="C58" s="179"/>
      <c r="D58" s="179"/>
      <c r="E58" s="179"/>
      <c r="F58" s="179"/>
      <c r="G58" s="179"/>
      <c r="H58" s="179"/>
    </row>
    <row r="59" spans="1:8" ht="15" thickBot="1" x14ac:dyDescent="0.35"/>
    <row r="60" spans="1:8" x14ac:dyDescent="0.3">
      <c r="A60" s="163" t="s">
        <v>2</v>
      </c>
      <c r="B60" s="166" t="s">
        <v>3</v>
      </c>
      <c r="C60" s="44"/>
      <c r="D60" s="166" t="s">
        <v>26</v>
      </c>
      <c r="E60" s="166"/>
      <c r="F60" s="166"/>
      <c r="G60" s="166"/>
      <c r="H60" s="169"/>
    </row>
    <row r="61" spans="1:8" x14ac:dyDescent="0.3">
      <c r="A61" s="164"/>
      <c r="B61" s="167"/>
      <c r="C61" s="170" t="s">
        <v>86</v>
      </c>
      <c r="D61" s="170" t="s">
        <v>44</v>
      </c>
      <c r="E61" s="47" t="s">
        <v>41</v>
      </c>
      <c r="F61" s="47"/>
      <c r="G61" s="47"/>
      <c r="H61" s="1"/>
    </row>
    <row r="62" spans="1:8" x14ac:dyDescent="0.3">
      <c r="A62" s="164"/>
      <c r="B62" s="167"/>
      <c r="C62" s="170"/>
      <c r="D62" s="170"/>
      <c r="E62" s="45" t="s">
        <v>51</v>
      </c>
      <c r="F62" s="45"/>
      <c r="G62" s="45"/>
      <c r="H62" s="10"/>
    </row>
    <row r="63" spans="1:8" ht="15" thickBot="1" x14ac:dyDescent="0.35">
      <c r="A63" s="165"/>
      <c r="B63" s="168"/>
      <c r="C63" s="171"/>
      <c r="D63" s="171"/>
      <c r="E63" s="46" t="s">
        <v>33</v>
      </c>
      <c r="F63" s="35"/>
      <c r="G63" s="35"/>
      <c r="H63" s="36"/>
    </row>
    <row r="64" spans="1:8" ht="43.2" x14ac:dyDescent="0.3">
      <c r="A64" s="59" t="s">
        <v>52</v>
      </c>
      <c r="B64" s="60" t="s">
        <v>53</v>
      </c>
      <c r="C64" s="60">
        <f>119-119*15%</f>
        <v>101.15</v>
      </c>
      <c r="D64" s="18">
        <f>C64*$B$4</f>
        <v>9609.25</v>
      </c>
      <c r="E64" s="18">
        <f>(4.2*1.3)*D64</f>
        <v>52466.505000000005</v>
      </c>
      <c r="F64" s="61" t="s">
        <v>6</v>
      </c>
      <c r="G64" s="18" t="s">
        <v>6</v>
      </c>
      <c r="H64" s="19" t="s">
        <v>6</v>
      </c>
    </row>
    <row r="65" spans="1:8" ht="28.8" x14ac:dyDescent="0.3">
      <c r="A65" s="24" t="s">
        <v>52</v>
      </c>
      <c r="B65" s="25" t="s">
        <v>54</v>
      </c>
      <c r="C65" s="25">
        <f>130-130*15%</f>
        <v>110.5</v>
      </c>
      <c r="D65" s="12">
        <f t="shared" ref="D65:D68" si="10">C65*$B$4</f>
        <v>10497.5</v>
      </c>
      <c r="E65" s="12">
        <f t="shared" ref="E65:E68" si="11">(4.2*1.3)*D65</f>
        <v>57316.350000000006</v>
      </c>
      <c r="F65" s="26" t="s">
        <v>6</v>
      </c>
      <c r="G65" s="12" t="s">
        <v>6</v>
      </c>
      <c r="H65" s="13" t="s">
        <v>6</v>
      </c>
    </row>
    <row r="66" spans="1:8" ht="28.8" x14ac:dyDescent="0.3">
      <c r="A66" s="24" t="s">
        <v>55</v>
      </c>
      <c r="B66" s="25" t="s">
        <v>56</v>
      </c>
      <c r="C66" s="25">
        <f>115-115*15%</f>
        <v>97.75</v>
      </c>
      <c r="D66" s="12">
        <f t="shared" si="10"/>
        <v>9286.25</v>
      </c>
      <c r="E66" s="12">
        <f t="shared" si="11"/>
        <v>50702.92500000001</v>
      </c>
      <c r="F66" s="26" t="s">
        <v>6</v>
      </c>
      <c r="G66" s="12" t="s">
        <v>6</v>
      </c>
      <c r="H66" s="13" t="s">
        <v>6</v>
      </c>
    </row>
    <row r="67" spans="1:8" ht="28.8" x14ac:dyDescent="0.3">
      <c r="A67" s="24" t="s">
        <v>57</v>
      </c>
      <c r="B67" s="25" t="s">
        <v>93</v>
      </c>
      <c r="C67" s="25">
        <f>112-112*15%</f>
        <v>95.2</v>
      </c>
      <c r="D67" s="12">
        <f t="shared" si="10"/>
        <v>9044</v>
      </c>
      <c r="E67" s="12">
        <f t="shared" si="11"/>
        <v>49380.240000000005</v>
      </c>
      <c r="F67" s="26" t="s">
        <v>6</v>
      </c>
      <c r="G67" s="12" t="s">
        <v>6</v>
      </c>
      <c r="H67" s="13" t="s">
        <v>6</v>
      </c>
    </row>
    <row r="68" spans="1:8" ht="29.4" thickBot="1" x14ac:dyDescent="0.35">
      <c r="A68" s="62" t="s">
        <v>57</v>
      </c>
      <c r="B68" s="63" t="s">
        <v>94</v>
      </c>
      <c r="C68" s="63">
        <f>132-132*15%</f>
        <v>112.2</v>
      </c>
      <c r="D68" s="14">
        <f t="shared" si="10"/>
        <v>10659</v>
      </c>
      <c r="E68" s="14">
        <f t="shared" si="11"/>
        <v>58198.140000000007</v>
      </c>
      <c r="F68" s="64" t="s">
        <v>6</v>
      </c>
      <c r="G68" s="14" t="s">
        <v>6</v>
      </c>
      <c r="H68" s="50" t="s">
        <v>6</v>
      </c>
    </row>
    <row r="70" spans="1:8" ht="18" x14ac:dyDescent="0.35">
      <c r="A70" s="178" t="s">
        <v>87</v>
      </c>
      <c r="B70" s="178"/>
      <c r="C70" s="178"/>
      <c r="D70" s="178"/>
      <c r="E70" s="178"/>
      <c r="F70" s="178"/>
      <c r="G70" s="178"/>
      <c r="H70" s="178"/>
    </row>
    <row r="71" spans="1:8" x14ac:dyDescent="0.3">
      <c r="A71" s="179" t="s">
        <v>1</v>
      </c>
      <c r="B71" s="179"/>
      <c r="C71" s="179"/>
      <c r="D71" s="179"/>
      <c r="E71" s="179"/>
      <c r="F71" s="179"/>
      <c r="G71" s="179"/>
      <c r="H71" s="179"/>
    </row>
    <row r="72" spans="1:8" ht="15" thickBot="1" x14ac:dyDescent="0.35"/>
    <row r="73" spans="1:8" x14ac:dyDescent="0.3">
      <c r="A73" s="163" t="s">
        <v>2</v>
      </c>
      <c r="B73" s="166" t="s">
        <v>3</v>
      </c>
      <c r="C73" s="44"/>
      <c r="D73" s="166" t="s">
        <v>26</v>
      </c>
      <c r="E73" s="166"/>
      <c r="F73" s="166"/>
      <c r="G73" s="166"/>
      <c r="H73" s="169"/>
    </row>
    <row r="74" spans="1:8" x14ac:dyDescent="0.3">
      <c r="A74" s="164"/>
      <c r="B74" s="167"/>
      <c r="C74" s="170" t="s">
        <v>86</v>
      </c>
      <c r="D74" s="170" t="s">
        <v>44</v>
      </c>
      <c r="E74" s="47" t="s">
        <v>41</v>
      </c>
      <c r="F74" s="47"/>
      <c r="G74" s="47"/>
      <c r="H74" s="1"/>
    </row>
    <row r="75" spans="1:8" x14ac:dyDescent="0.3">
      <c r="A75" s="164"/>
      <c r="B75" s="167"/>
      <c r="C75" s="170"/>
      <c r="D75" s="170"/>
      <c r="E75" s="45" t="s">
        <v>32</v>
      </c>
      <c r="F75" s="45"/>
      <c r="G75" s="45"/>
      <c r="H75" s="10"/>
    </row>
    <row r="76" spans="1:8" ht="15" thickBot="1" x14ac:dyDescent="0.35">
      <c r="A76" s="165"/>
      <c r="B76" s="168"/>
      <c r="C76" s="171"/>
      <c r="D76" s="171"/>
      <c r="E76" s="46" t="s">
        <v>33</v>
      </c>
      <c r="F76" s="35"/>
      <c r="G76" s="35"/>
      <c r="H76" s="36"/>
    </row>
    <row r="77" spans="1:8" ht="58.2" thickBot="1" x14ac:dyDescent="0.35">
      <c r="A77" s="65" t="s">
        <v>88</v>
      </c>
      <c r="B77" s="66" t="s">
        <v>90</v>
      </c>
      <c r="C77" s="66">
        <v>38.799999999999997</v>
      </c>
      <c r="D77" s="67">
        <f>C77*$B$4</f>
        <v>3685.9999999999995</v>
      </c>
      <c r="E77" s="67">
        <f>(3.05*1.3)*D77</f>
        <v>14614.989999999998</v>
      </c>
      <c r="F77" s="68" t="s">
        <v>6</v>
      </c>
      <c r="G77" s="67" t="s">
        <v>6</v>
      </c>
      <c r="H77" s="69" t="s">
        <v>6</v>
      </c>
    </row>
  </sheetData>
  <mergeCells count="44">
    <mergeCell ref="A73:A76"/>
    <mergeCell ref="B73:B76"/>
    <mergeCell ref="C74:C76"/>
    <mergeCell ref="A70:H70"/>
    <mergeCell ref="A71:H71"/>
    <mergeCell ref="D73:H73"/>
    <mergeCell ref="D74:D76"/>
    <mergeCell ref="A57:H57"/>
    <mergeCell ref="A58:H58"/>
    <mergeCell ref="A60:A63"/>
    <mergeCell ref="B60:B63"/>
    <mergeCell ref="D60:H60"/>
    <mergeCell ref="D61:D63"/>
    <mergeCell ref="C61:C63"/>
    <mergeCell ref="A42:H42"/>
    <mergeCell ref="A43:H43"/>
    <mergeCell ref="A45:A48"/>
    <mergeCell ref="B45:B48"/>
    <mergeCell ref="D45:H45"/>
    <mergeCell ref="D46:D48"/>
    <mergeCell ref="C46:C48"/>
    <mergeCell ref="A27:H27"/>
    <mergeCell ref="A28:H28"/>
    <mergeCell ref="A29:H29"/>
    <mergeCell ref="A31:A34"/>
    <mergeCell ref="B31:B34"/>
    <mergeCell ref="D31:H31"/>
    <mergeCell ref="D32:D34"/>
    <mergeCell ref="C32:C34"/>
    <mergeCell ref="A15:H15"/>
    <mergeCell ref="A16:H16"/>
    <mergeCell ref="A18:A21"/>
    <mergeCell ref="B18:B21"/>
    <mergeCell ref="D18:H18"/>
    <mergeCell ref="D19:D21"/>
    <mergeCell ref="C19:C21"/>
    <mergeCell ref="A1:H1"/>
    <mergeCell ref="A2:H2"/>
    <mergeCell ref="A3:H3"/>
    <mergeCell ref="A5:A8"/>
    <mergeCell ref="B5:B8"/>
    <mergeCell ref="D5:H5"/>
    <mergeCell ref="D6:D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Цены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2026-06-30T06:18:35Z</dcterms:modified>
</cp:coreProperties>
</file>